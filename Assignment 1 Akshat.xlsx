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DELL\Desktop\PW Skills\Assignment\Excel\Module 1 Assignment 1\"/>
    </mc:Choice>
  </mc:AlternateContent>
  <xr:revisionPtr revIDLastSave="0" documentId="13_ncr:1_{7800829C-B5B1-41D5-8CD7-F88290E364D7}" xr6:coauthVersionLast="47" xr6:coauthVersionMax="47" xr10:uidLastSave="{00000000-0000-0000-0000-000000000000}"/>
  <bookViews>
    <workbookView xWindow="-120" yWindow="-120" windowWidth="20730" windowHeight="11160" xr2:uid="{00000000-000D-0000-FFFF-FFFF00000000}"/>
  </bookViews>
  <sheets>
    <sheet name="Question 1" sheetId="2" r:id="rId1"/>
    <sheet name="Question 2" sheetId="3" r:id="rId2"/>
    <sheet name="Question 3" sheetId="4" r:id="rId3"/>
    <sheet name="Question 4, 5, 6" sheetId="1" r:id="rId4"/>
    <sheet name="Question 7" sheetId="6" r:id="rId5"/>
    <sheet name="Question 8" sheetId="9" r:id="rId6"/>
    <sheet name="Pivot" sheetId="8" state="hidden" r:id="rId7"/>
  </sheets>
  <definedNames>
    <definedName name="_xlnm._FilterDatabase" localSheetId="3" hidden="1">'Question 4, 5, 6'!$A$1:$H$51</definedName>
    <definedName name="Slicer_Months__OrderDate">#N/A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L13" i="1"/>
  <c r="H2" i="1"/>
  <c r="L3" i="1"/>
  <c r="D11" i="4"/>
  <c r="C11" i="3" a="1"/>
  <c r="C11" i="3" s="1"/>
  <c r="H43" i="2"/>
  <c r="G43" i="2"/>
  <c r="H42" i="2"/>
  <c r="G42" i="2"/>
  <c r="H41" i="2"/>
  <c r="G41" i="2"/>
  <c r="H40" i="2"/>
  <c r="G40" i="2"/>
  <c r="H39" i="2"/>
  <c r="G39" i="2"/>
  <c r="F43" i="2"/>
  <c r="F42" i="2"/>
  <c r="F41" i="2"/>
  <c r="F40" i="2"/>
  <c r="F39" i="2"/>
  <c r="E43" i="2"/>
  <c r="D43" i="2"/>
  <c r="G28" i="2"/>
  <c r="G27" i="2"/>
  <c r="G26" i="2"/>
  <c r="G25" i="2"/>
  <c r="G24" i="2"/>
  <c r="F28"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<sst xmlns="http://schemas.openxmlformats.org/spreadsheetml/2006/main" count="268" uniqueCount="140">
  <si>
    <t>OrderID</t>
  </si>
  <si>
    <t>CustomerName</t>
  </si>
  <si>
    <t>Region</t>
  </si>
  <si>
    <t>Product</t>
  </si>
  <si>
    <t>Quantity</t>
  </si>
  <si>
    <t>UnitPrice</t>
  </si>
  <si>
    <t>OrderDate</t>
  </si>
  <si>
    <t>Amit Sharma</t>
  </si>
  <si>
    <t>North</t>
  </si>
  <si>
    <t>Notebook</t>
  </si>
  <si>
    <t>Neha Verma</t>
  </si>
  <si>
    <t>South</t>
  </si>
  <si>
    <t>Pen</t>
  </si>
  <si>
    <t>Rahul Singh</t>
  </si>
  <si>
    <t>East</t>
  </si>
  <si>
    <t>Marker</t>
  </si>
  <si>
    <t>Pooja Mehta</t>
  </si>
  <si>
    <t>West</t>
  </si>
  <si>
    <t>Ankit Jain</t>
  </si>
  <si>
    <t>Pencil</t>
  </si>
  <si>
    <t>Sneha Patel</t>
  </si>
  <si>
    <t>Vikas Gupta</t>
  </si>
  <si>
    <t>Eraser</t>
  </si>
  <si>
    <t>Meera Nair</t>
  </si>
  <si>
    <t>Anjali Rao</t>
  </si>
  <si>
    <t>Manoj Das</t>
  </si>
  <si>
    <t>Ritika Sen</t>
  </si>
  <si>
    <t>Karan Malhotra</t>
  </si>
  <si>
    <t>Aryan Joshi</t>
  </si>
  <si>
    <t>Divya Kapoor</t>
  </si>
  <si>
    <t>Sahil Arora</t>
  </si>
  <si>
    <t>Muskan Jain</t>
  </si>
  <si>
    <t>Rohan Gupta</t>
  </si>
  <si>
    <t>Nidhi Sharma</t>
  </si>
  <si>
    <t>Tarun Verma</t>
  </si>
  <si>
    <t>Simran Kaur</t>
  </si>
  <si>
    <t>Deepak Rao</t>
  </si>
  <si>
    <t>Payal Mehta</t>
  </si>
  <si>
    <t>Aditya Singh</t>
  </si>
  <si>
    <t>Shreya Nair</t>
  </si>
  <si>
    <t>Sanjay Kumar</t>
  </si>
  <si>
    <t>Aarti Sharma</t>
  </si>
  <si>
    <t>Rajesh Patel</t>
  </si>
  <si>
    <t>Preeti Joshi</t>
  </si>
  <si>
    <t>Anurag Mishra</t>
  </si>
  <si>
    <t>Sanya Kapoor</t>
  </si>
  <si>
    <t>Harsh Yadav</t>
  </si>
  <si>
    <t>Kajal Rani</t>
  </si>
  <si>
    <t>Varun Sharma</t>
  </si>
  <si>
    <t>Swati Arora</t>
  </si>
  <si>
    <t>Akhil Jain</t>
  </si>
  <si>
    <t>Priyanka Das</t>
  </si>
  <si>
    <t>Ravi Nair</t>
  </si>
  <si>
    <t>Komal Singh</t>
  </si>
  <si>
    <t>Ayesha Khan</t>
  </si>
  <si>
    <t>Arjun Mehta</t>
  </si>
  <si>
    <t>Sonali Gupta</t>
  </si>
  <si>
    <t>Neeraj Kapoor</t>
  </si>
  <si>
    <t>Shruti Sharma</t>
  </si>
  <si>
    <t>Yash Arora</t>
  </si>
  <si>
    <t>Manish Das</t>
  </si>
  <si>
    <t>Rupal Nair</t>
  </si>
  <si>
    <t>Sonia Verma</t>
  </si>
  <si>
    <t>Kunal Singh</t>
  </si>
  <si>
    <t>Ritika Jain</t>
  </si>
  <si>
    <t>Vivek Malhotra</t>
  </si>
  <si>
    <t>Q1. What is relative, absolute and mixed cell referencing?</t>
  </si>
  <si>
    <t>Point 1</t>
  </si>
  <si>
    <t>Relative Cell Refrencing:-</t>
  </si>
  <si>
    <t>Absolute Cell Refrencing:-</t>
  </si>
  <si>
    <t>Mixed Cell Refrencing:-</t>
  </si>
  <si>
    <t>Point 2</t>
  </si>
  <si>
    <t>Point 3</t>
  </si>
  <si>
    <t>Defination:</t>
  </si>
  <si>
    <t>=A1+B1</t>
  </si>
  <si>
    <t>Sales</t>
  </si>
  <si>
    <t>Product Name</t>
  </si>
  <si>
    <t>Qty</t>
  </si>
  <si>
    <t>Price/Unit</t>
  </si>
  <si>
    <t>Laptop</t>
  </si>
  <si>
    <t>PC</t>
  </si>
  <si>
    <t>Mobile</t>
  </si>
  <si>
    <t>PS 5</t>
  </si>
  <si>
    <t>Total Sale</t>
  </si>
  <si>
    <t>Refers to a fixed cell that does not change when copied</t>
  </si>
  <si>
    <t>Total Sales</t>
  </si>
  <si>
    <t>=$A$1</t>
  </si>
  <si>
    <t>Notation:</t>
  </si>
  <si>
    <t>Use:</t>
  </si>
  <si>
    <t>Total</t>
  </si>
  <si>
    <t>Suppose, To find the share of each product from the total sales, I will fix cell F28 using the dollar sign to make it an absolute reference ($F$28), and then divide each product’s sales by $F$28.</t>
  </si>
  <si>
    <t>Share %</t>
  </si>
  <si>
    <t>Reference where only a part stays fixed ( either Column ($A2) or row (A$2)).</t>
  </si>
  <si>
    <t>Adjust automatically when copied. (reference without a dollar sign)</t>
  </si>
  <si>
    <t>Reference that changes automatically when you copy the formula to another cell.</t>
  </si>
  <si>
    <t>Refrence that remain fixed no matter where copied,(referenc a dollar sign before Row &amp; Coloum Both)</t>
  </si>
  <si>
    <t>Locks either the row or column, but not both</t>
  </si>
  <si>
    <t>or</t>
  </si>
  <si>
    <t>=A$2</t>
  </si>
  <si>
    <t>=$A2</t>
  </si>
  <si>
    <t>June</t>
  </si>
  <si>
    <t>July</t>
  </si>
  <si>
    <t>2 Month Dales</t>
  </si>
  <si>
    <t>June %</t>
  </si>
  <si>
    <t>July%</t>
  </si>
  <si>
    <t>Suppose I need to calculate the month-wise product sales percentage out of the total two-month sales. I will make the “2 Month Sales” column an Mixed reference so the column remains fixed while dragging the formula across rows. Then, I will divide each product’s monthly sales (June or July) by its corresponding “2 Month Sales” to get the June % and July % values.</t>
  </si>
  <si>
    <t>Best when you want formulas to adjust automatically across rows/columns.
 If copied down one row, it becomes =A2 + B2</t>
  </si>
  <si>
    <t>Q2. Write a formula to calculate the total sales of Car and Bicyle only.</t>
  </si>
  <si>
    <t>Vehicle</t>
  </si>
  <si>
    <t>Price</t>
  </si>
  <si>
    <t>Car</t>
  </si>
  <si>
    <t>Bicycle</t>
  </si>
  <si>
    <t>Autorikshaw</t>
  </si>
  <si>
    <t>Total sale( price) of Car and Bicycle</t>
  </si>
  <si>
    <t>Ans:</t>
  </si>
  <si>
    <t>Q3. Using the data below, write a formula to calculate the average sales of items priced above 100 but less than 300</t>
  </si>
  <si>
    <t>Item</t>
  </si>
  <si>
    <t>Item A</t>
  </si>
  <si>
    <t>Item B</t>
  </si>
  <si>
    <t>Item C</t>
  </si>
  <si>
    <t>Q4. Count how many customer names are recorded</t>
  </si>
  <si>
    <t>Answer :</t>
  </si>
  <si>
    <t>Formula :</t>
  </si>
  <si>
    <t>=COUNTA(B2:B51)</t>
  </si>
  <si>
    <t>Q5. Calculate the Total Sales for each row using a formula.</t>
  </si>
  <si>
    <t>Mentioned in Column G</t>
  </si>
  <si>
    <t>=PRODUCT(E2,F2)</t>
  </si>
  <si>
    <t>E2*F2</t>
  </si>
  <si>
    <t>Q6. Calculate the total sales of Notebooks in the North region only</t>
  </si>
  <si>
    <t>Sum of Total Sales</t>
  </si>
  <si>
    <t>Row Labels</t>
  </si>
  <si>
    <t>Grand Total</t>
  </si>
  <si>
    <t>Q7. Create a column chart showing total sales by product.</t>
  </si>
  <si>
    <t>Pivot Table &amp; Chart</t>
  </si>
  <si>
    <t>Q8. Insert a line chart showing daily sales trend.</t>
  </si>
  <si>
    <t>Below</t>
  </si>
  <si>
    <t>=SUMIFS($H$1:$H$51,$D$1:$D$51,"Notebook",$C$1:$C$51,"North")</t>
  </si>
  <si>
    <t>Jan</t>
  </si>
  <si>
    <t>Months (OrderDate)</t>
  </si>
  <si>
    <t>Slicer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</si>
</sst>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0"/>
      <color rgb="FF000000"/>
      <name val="Arial"/>
      <scheme val="minor"/>
    </font>
    <font>
      <sz val="11"/>
      <color rgb="FF000000"/>
      <name val="Calibri"/>
    </font>
    <font>
      <b/>
      <sz val="10"/>
      <color theme="1"/>
      <name val="Arial"/>
      <scheme val="minor"/>
    </font>
    <font>
      <b/>
      <sz val="10"/>
      <color rgb="FF000000"/>
      <name val="Arial"/>
      <family val="2"/>
      <scheme val="minor"/>
    </font>
    <font>
      <b/>
      <sz val="10"/>
      <color theme="0"/>
      <name val="Arial"/>
      <family val="2"/>
      <scheme val="minor"/>
    </font>
    <font>
      <sz val="10"/>
      <color rgb="FF000000"/>
      <name val="Cambria"/>
      <family val="1"/>
    </font>
    <font>
      <b/>
      <sz val="10"/>
      <color rgb="FF000000"/>
      <name val="Cambria"/>
      <family val="1"/>
    </font>
    <font>
      <b/>
      <sz val="9"/>
      <color theme="1"/>
      <name val="Cambria"/>
      <family val="1"/>
    </font>
    <font>
      <b/>
      <sz val="9"/>
      <color theme="1"/>
      <name val="Calibri"/>
      <family val="2"/>
    </font>
    <font>
      <sz val="9"/>
      <color rgb="FF000000"/>
      <name val="Calibri"/>
      <family val="2"/>
    </font>
    <font>
      <sz val="9"/>
      <color rgb="FF000000"/>
      <name val="Cambria"/>
      <family val="1"/>
    </font>
    <font>
      <b/>
      <sz val="15"/>
      <color theme="0"/>
      <name val="Cambria"/>
      <family val="1"/>
    </font>
    <font>
      <b/>
      <sz val="10"/>
      <color rgb="FF000000"/>
      <name val="Calibri"/>
      <family val="2"/>
    </font>
    <font>
      <b/>
      <sz val="10"/>
      <color theme="0"/>
      <name val="Calibri"/>
      <family val="2"/>
    </font>
    <font>
      <b/>
      <sz val="15"/>
      <color rgb="FF000000"/>
      <name val="Calibri"/>
      <family val="2"/>
    </font>
    <font>
      <b/>
      <sz val="12"/>
      <color rgb="FF000000"/>
      <name val="Calibri"/>
      <family val="2"/>
    </font>
    <font>
      <b/>
      <sz val="13"/>
      <color theme="0"/>
      <name val="Cambria"/>
      <family val="1"/>
    </font>
    <font>
      <sz val="13"/>
      <color rgb="FF000000"/>
      <name val="Arial"/>
      <family val="2"/>
      <scheme val="minor"/>
    </font>
    <font>
      <b/>
      <sz val="20"/>
      <color rgb="FF000000"/>
      <name val="Calibri"/>
      <family val="2"/>
    </font>
    <font>
      <b/>
      <sz val="11"/>
      <color theme="0"/>
      <name val="Calibri"/>
      <family val="2"/>
    </font>
    <font>
      <b/>
      <sz val="13"/>
      <color rgb="FF000000"/>
      <name val="Cambria"/>
      <family val="1"/>
    </font>
    <font>
      <b/>
      <sz val="11"/>
      <color rgb="FF000000"/>
      <name val="Calibri"/>
      <family val="2"/>
    </font>
    <font>
      <b/>
      <sz val="15"/>
      <color rgb="FF000000"/>
      <name val="Cambria"/>
      <family val="1"/>
    </font>
  </fonts>
  <fills count="16">
    <fill>
      <patternFill patternType="none"/>
    </fill>
    <fill>
      <patternFill patternType="gray125"/>
    </fill>
    <fill>
      <patternFill patternType="solid">
        <fgColor theme="1"/>
        <bgColor indexed="64"/>
      </patternFill>
    </fill>
    <fill>
      <patternFill patternType="solid">
        <fgColor theme="4"/>
        <bgColor indexed="64"/>
      </patternFill>
    </fill>
    <fill>
      <patternFill patternType="solid">
        <fgColor theme="0" tint="-0.14999847407452621"/>
        <bgColor indexed="64"/>
      </patternFill>
    </fill>
    <fill>
      <gradientFill degree="270">
        <stop position="0">
          <color theme="0"/>
        </stop>
        <stop position="1">
          <color theme="8" tint="0.40000610370189521"/>
        </stop>
      </gradientFill>
    </fill>
    <fill>
      <gradientFill degree="270">
        <stop position="0">
          <color theme="0"/>
        </stop>
        <stop position="1">
          <color theme="0" tint="-0.34900967436750391"/>
        </stop>
      </gradientFill>
    </fill>
    <fill>
      <patternFill patternType="solid">
        <fgColor theme="7" tint="0.79998168889431442"/>
        <bgColor indexed="64"/>
      </patternFill>
    </fill>
    <fill>
      <gradientFill degree="270">
        <stop position="0">
          <color theme="7" tint="0.80001220740379042"/>
        </stop>
        <stop position="1">
          <color theme="4"/>
        </stop>
      </gradientFill>
    </fill>
    <fill>
      <patternFill patternType="solid">
        <fgColor theme="0" tint="-0.249977111117893"/>
        <bgColor indexed="64"/>
      </patternFill>
    </fill>
    <fill>
      <patternFill patternType="solid">
        <fgColor theme="6" tint="-0.249977111117893"/>
        <bgColor indexed="64"/>
      </patternFill>
    </fill>
    <fill>
      <patternFill patternType="solid">
        <fgColor theme="9"/>
        <bgColor indexed="64"/>
      </patternFill>
    </fill>
    <fill>
      <patternFill patternType="solid">
        <fgColor theme="7" tint="-0.249977111117893"/>
        <bgColor indexed="64"/>
      </patternFill>
    </fill>
    <fill>
      <patternFill patternType="solid">
        <fgColor rgb="FF0070C0"/>
        <bgColor indexed="64"/>
      </patternFill>
    </fill>
    <fill>
      <patternFill patternType="solid">
        <fgColor theme="3"/>
        <bgColor indexed="64"/>
      </patternFill>
    </fill>
    <fill>
      <patternFill patternType="solid">
        <fgColor theme="4" tint="0.39997558519241921"/>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thin">
        <color indexed="64"/>
      </left>
      <right/>
      <top style="medium">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s>
  <cellStyleXfs count="1">
    <xf numFmtId="0" fontId="0" fillId="0" borderId="0"/>
  </cellStyleXfs>
  <cellXfs count="79">
    <xf numFmtId="0" fontId="0" fillId="0" borderId="0" xfId="0"/>
    <xf numFmtId="0" fontId="1" fillId="0" borderId="0" xfId="0" applyFont="1"/>
    <xf numFmtId="0" fontId="2" fillId="0" borderId="0" xfId="0" applyFont="1"/>
    <xf numFmtId="0" fontId="3" fillId="0" borderId="0" xfId="0" applyFont="1"/>
    <xf numFmtId="0" fontId="5" fillId="0" borderId="0" xfId="0" applyFont="1"/>
    <xf numFmtId="0" fontId="6" fillId="5" borderId="7" xfId="0" applyFont="1" applyFill="1" applyBorder="1"/>
    <xf numFmtId="0" fontId="6" fillId="5" borderId="8" xfId="0" applyFont="1" applyFill="1" applyBorder="1"/>
    <xf numFmtId="0" fontId="6" fillId="0" borderId="0" xfId="0" applyFont="1"/>
    <xf numFmtId="0" fontId="7" fillId="8" borderId="1" xfId="0" applyFont="1" applyFill="1" applyBorder="1" applyAlignment="1">
      <alignment horizontal="center"/>
    </xf>
    <xf numFmtId="0" fontId="6" fillId="5" borderId="20" xfId="0" applyFont="1" applyFill="1" applyBorder="1"/>
    <xf numFmtId="0" fontId="8" fillId="8" borderId="1" xfId="0" applyFont="1" applyFill="1" applyBorder="1" applyAlignment="1">
      <alignment horizontal="center"/>
    </xf>
    <xf numFmtId="0" fontId="9" fillId="0" borderId="1" xfId="0" applyFont="1" applyBorder="1" applyAlignment="1">
      <alignment horizontal="center"/>
    </xf>
    <xf numFmtId="0" fontId="6" fillId="7" borderId="25" xfId="0" applyFont="1" applyFill="1" applyBorder="1" applyAlignment="1">
      <alignment wrapText="1"/>
    </xf>
    <xf numFmtId="0" fontId="6" fillId="7" borderId="15" xfId="0" applyFont="1" applyFill="1" applyBorder="1" applyAlignment="1">
      <alignment wrapText="1"/>
    </xf>
    <xf numFmtId="0" fontId="6" fillId="7" borderId="23" xfId="0" applyFont="1" applyFill="1" applyBorder="1" applyAlignment="1">
      <alignment wrapText="1"/>
    </xf>
    <xf numFmtId="0" fontId="6" fillId="7" borderId="24" xfId="0" applyFont="1" applyFill="1" applyBorder="1" applyAlignment="1">
      <alignment wrapText="1"/>
    </xf>
    <xf numFmtId="0" fontId="6" fillId="7" borderId="16" xfId="0" applyFont="1" applyFill="1" applyBorder="1" applyAlignment="1">
      <alignment vertical="center" wrapText="1"/>
    </xf>
    <xf numFmtId="0" fontId="10" fillId="0" borderId="1" xfId="0" applyFont="1" applyBorder="1" applyAlignment="1">
      <alignment horizontal="center"/>
    </xf>
    <xf numFmtId="9" fontId="9" fillId="0" borderId="1" xfId="0" applyNumberFormat="1" applyFont="1" applyBorder="1" applyAlignment="1">
      <alignment horizontal="center"/>
    </xf>
    <xf numFmtId="9" fontId="8" fillId="8" borderId="1" xfId="0" applyNumberFormat="1" applyFont="1" applyFill="1" applyBorder="1" applyAlignment="1">
      <alignment horizontal="center"/>
    </xf>
    <xf numFmtId="0" fontId="6" fillId="7" borderId="23" xfId="0" quotePrefix="1" applyFont="1" applyFill="1" applyBorder="1" applyAlignment="1">
      <alignment wrapText="1"/>
    </xf>
    <xf numFmtId="0" fontId="6" fillId="7" borderId="23" xfId="0" quotePrefix="1" applyFont="1" applyFill="1" applyBorder="1" applyAlignment="1">
      <alignment horizontal="center" wrapText="1"/>
    </xf>
    <xf numFmtId="0" fontId="6" fillId="7" borderId="23" xfId="0" applyFont="1" applyFill="1" applyBorder="1" applyAlignment="1">
      <alignment horizontal="center" wrapText="1"/>
    </xf>
    <xf numFmtId="0" fontId="5" fillId="0" borderId="0" xfId="0" applyFont="1" applyAlignment="1">
      <alignment wrapText="1"/>
    </xf>
    <xf numFmtId="0" fontId="5" fillId="0" borderId="0" xfId="0" applyFont="1" applyAlignment="1">
      <alignment vertical="center"/>
    </xf>
    <xf numFmtId="0" fontId="13" fillId="10" borderId="1" xfId="0" applyFont="1" applyFill="1" applyBorder="1" applyAlignment="1">
      <alignment horizontal="center"/>
    </xf>
    <xf numFmtId="0" fontId="12" fillId="0" borderId="1" xfId="0" applyFont="1" applyBorder="1" applyAlignment="1">
      <alignment horizontal="center"/>
    </xf>
    <xf numFmtId="0" fontId="14" fillId="3" borderId="0" xfId="0" applyFont="1" applyFill="1" applyAlignment="1">
      <alignment horizontal="center"/>
    </xf>
    <xf numFmtId="0" fontId="17" fillId="0" borderId="0" xfId="0" applyFont="1"/>
    <xf numFmtId="0" fontId="4" fillId="12" borderId="1" xfId="0" applyFont="1" applyFill="1" applyBorder="1" applyAlignment="1">
      <alignment horizontal="center"/>
    </xf>
    <xf numFmtId="0" fontId="0" fillId="7" borderId="1" xfId="0" applyFill="1" applyBorder="1" applyAlignment="1">
      <alignment horizontal="center"/>
    </xf>
    <xf numFmtId="0" fontId="18" fillId="0" borderId="0" xfId="0" applyFont="1" applyAlignment="1">
      <alignment horizontal="center"/>
    </xf>
    <xf numFmtId="0" fontId="1" fillId="0" borderId="1" xfId="0" applyFont="1" applyBorder="1" applyAlignment="1">
      <alignment horizontal="center"/>
    </xf>
    <xf numFmtId="0" fontId="19" fillId="13" borderId="1" xfId="0" applyFont="1" applyFill="1" applyBorder="1" applyAlignment="1">
      <alignment horizontal="center"/>
    </xf>
    <xf numFmtId="0" fontId="16" fillId="12" borderId="13" xfId="0" applyFont="1" applyFill="1" applyBorder="1"/>
    <xf numFmtId="0" fontId="16" fillId="12" borderId="0" xfId="0" applyFont="1" applyFill="1"/>
    <xf numFmtId="0" fontId="16" fillId="12" borderId="14" xfId="0" applyFont="1" applyFill="1" applyBorder="1"/>
    <xf numFmtId="0" fontId="19" fillId="14" borderId="1" xfId="0" applyFont="1" applyFill="1" applyBorder="1" applyAlignment="1">
      <alignment horizontal="center"/>
    </xf>
    <xf numFmtId="0" fontId="21" fillId="4" borderId="1" xfId="0" applyFont="1" applyFill="1" applyBorder="1" applyAlignment="1">
      <alignment horizontal="center"/>
    </xf>
    <xf numFmtId="0" fontId="0" fillId="0" borderId="0" xfId="0" pivotButton="1"/>
    <xf numFmtId="0" fontId="0" fillId="0" borderId="0" xfId="0" applyAlignment="1">
      <alignment horizontal="left"/>
    </xf>
    <xf numFmtId="0" fontId="16" fillId="12" borderId="13" xfId="0" applyFont="1" applyFill="1" applyBorder="1" applyAlignment="1">
      <alignment horizontal="left"/>
    </xf>
    <xf numFmtId="0" fontId="16" fillId="12" borderId="0" xfId="0" applyFont="1" applyFill="1" applyAlignment="1">
      <alignment horizontal="left"/>
    </xf>
    <xf numFmtId="0" fontId="16" fillId="12" borderId="14" xfId="0" applyFont="1" applyFill="1" applyBorder="1" applyAlignment="1">
      <alignment horizontal="left"/>
    </xf>
    <xf numFmtId="0" fontId="20" fillId="9" borderId="19" xfId="0" applyFont="1" applyFill="1" applyBorder="1" applyAlignment="1">
      <alignment horizontal="left"/>
    </xf>
    <xf numFmtId="0" fontId="20" fillId="9" borderId="17" xfId="0" quotePrefix="1" applyFont="1" applyFill="1" applyBorder="1" applyAlignment="1">
      <alignment horizontal="left"/>
    </xf>
    <xf numFmtId="0" fontId="20" fillId="9" borderId="17" xfId="0" applyFont="1" applyFill="1" applyBorder="1" applyAlignment="1">
      <alignment horizontal="left"/>
    </xf>
    <xf numFmtId="0" fontId="20" fillId="9" borderId="18" xfId="0" applyFont="1" applyFill="1" applyBorder="1" applyAlignment="1">
      <alignment horizontal="left"/>
    </xf>
    <xf numFmtId="15" fontId="19" fillId="13" borderId="1" xfId="0" applyNumberFormat="1" applyFont="1" applyFill="1" applyBorder="1" applyAlignment="1">
      <alignment horizontal="center"/>
    </xf>
    <xf numFmtId="15" fontId="1" fillId="0" borderId="1" xfId="0" applyNumberFormat="1" applyFont="1" applyBorder="1" applyAlignment="1">
      <alignment horizontal="center"/>
    </xf>
    <xf numFmtId="15" fontId="1" fillId="0" borderId="0" xfId="0" applyNumberFormat="1" applyFont="1"/>
    <xf numFmtId="15" fontId="0" fillId="0" borderId="0" xfId="0" applyNumberFormat="1"/>
    <xf numFmtId="15" fontId="0" fillId="0" borderId="0" xfId="0" applyNumberFormat="1" applyAlignment="1">
      <alignment horizontal="left"/>
    </xf>
    <xf numFmtId="0" fontId="6" fillId="7" borderId="11" xfId="0" applyFont="1" applyFill="1" applyBorder="1" applyAlignment="1">
      <alignment horizontal="left" wrapText="1"/>
    </xf>
    <xf numFmtId="0" fontId="6" fillId="7" borderId="12" xfId="0" applyFont="1" applyFill="1" applyBorder="1" applyAlignment="1">
      <alignment horizontal="left" wrapText="1"/>
    </xf>
    <xf numFmtId="0" fontId="6" fillId="7" borderId="21" xfId="0" quotePrefix="1" applyFont="1" applyFill="1" applyBorder="1" applyAlignment="1">
      <alignment horizontal="left" vertical="center" wrapText="1"/>
    </xf>
    <xf numFmtId="0" fontId="6" fillId="7" borderId="22" xfId="0" quotePrefix="1" applyFont="1" applyFill="1" applyBorder="1" applyAlignment="1">
      <alignment horizontal="left" vertical="center" wrapText="1"/>
    </xf>
    <xf numFmtId="0" fontId="11" fillId="2" borderId="0" xfId="0" applyFont="1" applyFill="1" applyAlignment="1">
      <alignment horizontal="center" vertical="center"/>
    </xf>
    <xf numFmtId="0" fontId="6" fillId="6" borderId="8" xfId="0" applyFont="1" applyFill="1" applyBorder="1" applyAlignment="1">
      <alignment horizontal="center"/>
    </xf>
    <xf numFmtId="0" fontId="6" fillId="6" borderId="9" xfId="0" applyFont="1" applyFill="1" applyBorder="1" applyAlignment="1">
      <alignment horizontal="center"/>
    </xf>
    <xf numFmtId="0" fontId="6" fillId="6" borderId="20" xfId="0" applyFont="1" applyFill="1" applyBorder="1" applyAlignment="1">
      <alignment horizontal="center"/>
    </xf>
    <xf numFmtId="0" fontId="6" fillId="6" borderId="6" xfId="0" applyFont="1" applyFill="1" applyBorder="1" applyAlignment="1">
      <alignment horizontal="center"/>
    </xf>
    <xf numFmtId="0" fontId="6" fillId="6" borderId="5" xfId="0" applyFont="1" applyFill="1" applyBorder="1" applyAlignment="1">
      <alignment horizontal="center"/>
    </xf>
    <xf numFmtId="0" fontId="6" fillId="6" borderId="4" xfId="0" applyFont="1" applyFill="1" applyBorder="1" applyAlignment="1">
      <alignment horizontal="center"/>
    </xf>
    <xf numFmtId="0" fontId="6" fillId="7" borderId="21" xfId="0" quotePrefix="1" applyFont="1" applyFill="1" applyBorder="1" applyAlignment="1">
      <alignment horizontal="left" wrapText="1"/>
    </xf>
    <xf numFmtId="0" fontId="6" fillId="7" borderId="22" xfId="0" quotePrefix="1" applyFont="1" applyFill="1" applyBorder="1" applyAlignment="1">
      <alignment horizontal="left" wrapText="1"/>
    </xf>
    <xf numFmtId="0" fontId="8" fillId="8" borderId="3" xfId="0" applyFont="1" applyFill="1" applyBorder="1" applyAlignment="1">
      <alignment horizontal="center"/>
    </xf>
    <xf numFmtId="0" fontId="8" fillId="8" borderId="23" xfId="0" applyFont="1" applyFill="1" applyBorder="1" applyAlignment="1">
      <alignment horizontal="center"/>
    </xf>
    <xf numFmtId="0" fontId="8" fillId="8" borderId="2" xfId="0" applyFont="1" applyFill="1" applyBorder="1" applyAlignment="1">
      <alignment horizontal="center"/>
    </xf>
    <xf numFmtId="0" fontId="15" fillId="11" borderId="0" xfId="0" applyFont="1" applyFill="1" applyAlignment="1">
      <alignment horizontal="center" vertical="center"/>
    </xf>
    <xf numFmtId="0" fontId="14" fillId="3" borderId="0" xfId="0" applyFont="1" applyFill="1" applyAlignment="1">
      <alignment horizontal="center"/>
    </xf>
    <xf numFmtId="0" fontId="11" fillId="2" borderId="0" xfId="0" applyFont="1" applyFill="1" applyAlignment="1">
      <alignment horizontal="center" vertical="center" wrapText="1"/>
    </xf>
    <xf numFmtId="0" fontId="16" fillId="2" borderId="10" xfId="0" applyFont="1" applyFill="1" applyBorder="1" applyAlignment="1">
      <alignment horizontal="left" vertical="center" wrapText="1"/>
    </xf>
    <xf numFmtId="0" fontId="16" fillId="2" borderId="11" xfId="0" applyFont="1" applyFill="1" applyBorder="1" applyAlignment="1">
      <alignment horizontal="left" vertical="center" wrapText="1"/>
    </xf>
    <xf numFmtId="0" fontId="16" fillId="2" borderId="12" xfId="0" applyFont="1" applyFill="1" applyBorder="1" applyAlignment="1">
      <alignment horizontal="left" vertical="center" wrapText="1"/>
    </xf>
    <xf numFmtId="0" fontId="16" fillId="2" borderId="10" xfId="0" applyFont="1" applyFill="1" applyBorder="1" applyAlignment="1">
      <alignment horizontal="center" vertical="center" wrapText="1"/>
    </xf>
    <xf numFmtId="0" fontId="16" fillId="2" borderId="11" xfId="0" applyFont="1" applyFill="1" applyBorder="1" applyAlignment="1">
      <alignment horizontal="center" vertical="center" wrapText="1"/>
    </xf>
    <xf numFmtId="0" fontId="16" fillId="2" borderId="12" xfId="0" applyFont="1" applyFill="1" applyBorder="1" applyAlignment="1">
      <alignment horizontal="center" vertical="center" wrapText="1"/>
    </xf>
    <xf numFmtId="0" fontId="22" fillId="15"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[Dataset.xlsx]Question 7!PivotTable6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a:t>
            </a:r>
            <a:r>
              <a:rPr lang="en-US" baseline="0"/>
              <a:t>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 7'!$B$6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'Question 7'!$A$7:$A$12</c:f>
              <c:strCache>
                <c:ptCount val="5"/>
                <c:pt idx="0">
                  <c:v>Eraser</c:v>
                </c:pt>
                <c:pt idx="1">
                  <c:v>Marker</c:v>
                </c:pt>
                <c:pt idx="2">
                  <c:v>Notebook</c:v>
                </c:pt>
                <c:pt idx="3">
                  <c:v>Pen</c:v>
                </c:pt>
                <c:pt idx="4">
                  <c:v>Pencil</c:v>
                </c:pt>
              </c:strCache>
            </c:strRef>
          </c:cat>
          <c:val>
            <c:numRef>
              <c:f>'Question 7'!$B$7:$B$12</c:f>
              <c:numCache>
                <c:formatCode>General</c:formatCode>
                <c:ptCount val="5"/>
                <c:pt idx="0">
                  <c:v>1928</c:v>
                </c:pt>
                <c:pt idx="1">
                  <c:v>3650</c:v>
                </c:pt>
                <c:pt idx="2">
                  <c:v>7550</c:v>
                </c:pt>
                <c:pt idx="3">
                  <c:v>2180</c:v>
                </c:pt>
                <c:pt idx="4">
                  <c:v>1235</c:v>
                </c:pt>
              </c:numCache>
            </c:numRef>
          </c:val>
          <c:extLst>
            <c:ext xmlns:c16="http://schemas.microsoft.com/office/drawing/2014/chart" uri="{C3380CC4-5D6E-409C-BE32-E72D297353CC}">
              <c16:uniqueId val="{00000000-ED00-4F06-8328-681A9263F923}"/>
            </c:ext>
          </c:extLst>
        </c:ser>
        <c:dLbls>
          <c:dLblPos val="outEnd"/>
          <c:showLegendKey val="0"/>
          <c:showVal val="1"/>
          <c:showCatName val="0"/>
          <c:showSerName val="0"/>
          <c:showPercent val="0"/>
          <c:showBubbleSize val="0"/>
        </c:dLbls>
        <c:gapWidth val="100"/>
        <c:overlap val="-24"/>
        <c:axId val="385555439"/>
        <c:axId val="385556879"/>
      </c:barChart>
      <c:catAx>
        <c:axId val="3855554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5556879"/>
        <c:crosses val="autoZero"/>
        <c:auto val="1"/>
        <c:lblAlgn val="ctr"/>
        <c:lblOffset val="100"/>
        <c:noMultiLvlLbl val="0"/>
      </c:catAx>
      <c:valAx>
        <c:axId val="385556879"/>
        <c:scaling>
          <c:orientation val="minMax"/>
        </c:scaling>
        <c:delete val="1"/>
        <c:axPos val="l"/>
        <c:numFmt formatCode="General" sourceLinked="1"/>
        <c:majorTickMark val="none"/>
        <c:minorTickMark val="none"/>
        <c:tickLblPos val="nextTo"/>
        <c:crossAx val="385555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[Dataset.xlsx]Pivot!PivotTable13</c:name>
    <c:fmtId val="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Pivot!$A$4:$A$23</c:f>
              <c:strCache>
                <c:ptCount val="19"/>
                <c:pt idx="0">
                  <c:v>5-Jan-24</c:v>
                </c:pt>
                <c:pt idx="1">
                  <c:v>6-Jan-24</c:v>
                </c:pt>
                <c:pt idx="2">
                  <c:v>7-Jan-24</c:v>
                </c:pt>
                <c:pt idx="3">
                  <c:v>8-Jan-24</c:v>
                </c:pt>
                <c:pt idx="4">
                  <c:v>10-Jan-24</c:v>
                </c:pt>
                <c:pt idx="5">
                  <c:v>11-Jan-24</c:v>
                </c:pt>
                <c:pt idx="6">
                  <c:v>13-Jan-24</c:v>
                </c:pt>
                <c:pt idx="7">
                  <c:v>15-Jan-24</c:v>
                </c:pt>
                <c:pt idx="8">
                  <c:v>17-Jan-24</c:v>
                </c:pt>
                <c:pt idx="9">
                  <c:v>18-Jan-24</c:v>
                </c:pt>
                <c:pt idx="10">
                  <c:v>19-Jan-24</c:v>
                </c:pt>
                <c:pt idx="11">
                  <c:v>20-Jan-24</c:v>
                </c:pt>
                <c:pt idx="12">
                  <c:v>22-Jan-24</c:v>
                </c:pt>
                <c:pt idx="13">
                  <c:v>23-Jan-24</c:v>
                </c:pt>
                <c:pt idx="14">
                  <c:v>24-Jan-24</c:v>
                </c:pt>
                <c:pt idx="15">
                  <c:v>26-Jan-24</c:v>
                </c:pt>
                <c:pt idx="16">
                  <c:v>28-Jan-24</c:v>
                </c:pt>
                <c:pt idx="17">
                  <c:v>29-Jan-24</c:v>
                </c:pt>
                <c:pt idx="18">
                  <c:v>30-Jan-24</c:v>
                </c:pt>
              </c:strCache>
            </c:strRef>
          </c:cat>
          <c:val>
            <c:numRef>
              <c:f>Pivot!$B$4:$B$23</c:f>
              <c:numCache>
                <c:formatCode>General</c:formatCode>
                <c:ptCount val="19"/>
                <c:pt idx="0">
                  <c:v>500</c:v>
                </c:pt>
                <c:pt idx="1">
                  <c:v>200</c:v>
                </c:pt>
                <c:pt idx="2">
                  <c:v>375</c:v>
                </c:pt>
                <c:pt idx="3">
                  <c:v>250</c:v>
                </c:pt>
                <c:pt idx="4">
                  <c:v>150</c:v>
                </c:pt>
                <c:pt idx="5">
                  <c:v>600</c:v>
                </c:pt>
                <c:pt idx="6">
                  <c:v>200</c:v>
                </c:pt>
                <c:pt idx="7">
                  <c:v>180</c:v>
                </c:pt>
                <c:pt idx="8">
                  <c:v>550</c:v>
                </c:pt>
                <c:pt idx="9">
                  <c:v>400</c:v>
                </c:pt>
                <c:pt idx="10">
                  <c:v>200</c:v>
                </c:pt>
                <c:pt idx="11">
                  <c:v>280</c:v>
                </c:pt>
                <c:pt idx="12">
                  <c:v>700</c:v>
                </c:pt>
                <c:pt idx="13">
                  <c:v>280</c:v>
                </c:pt>
                <c:pt idx="14">
                  <c:v>300</c:v>
                </c:pt>
                <c:pt idx="15">
                  <c:v>125</c:v>
                </c:pt>
                <c:pt idx="16">
                  <c:v>160</c:v>
                </c:pt>
                <c:pt idx="17">
                  <c:v>500</c:v>
                </c:pt>
                <c:pt idx="18">
                  <c:v>150</c:v>
                </c:pt>
              </c:numCache>
            </c:numRef>
          </c:val>
          <c:smooth val="0"/>
          <c:extLst>
            <c:ext xmlns:c16="http://schemas.microsoft.com/office/drawing/2014/chart" uri="{C3380CC4-5D6E-409C-BE32-E72D297353CC}">
              <c16:uniqueId val="{00000000-A414-401D-B6BB-36AF10A127AD}"/>
            </c:ext>
          </c:extLst>
        </c:ser>
        <c:dLbls>
          <c:dLblPos val="t"/>
          <c:showLegendKey val="0"/>
          <c:showVal val="1"/>
          <c:showCatName val="0"/>
          <c:showSerName val="0"/>
          <c:showPercent val="0"/>
          <c:showBubbleSize val="0"/>
        </c:dLbls>
        <c:marker val="1"/>
        <c:smooth val="0"/>
        <c:axId val="469464655"/>
        <c:axId val="469463695"/>
      </c:lineChart>
      <c:catAx>
        <c:axId val="46946465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9463695"/>
        <c:crosses val="autoZero"/>
        <c:auto val="1"/>
        <c:lblAlgn val="ctr"/>
        <c:lblOffset val="100"/>
        <c:noMultiLvlLbl val="0"/>
      </c:catAx>
      <c:valAx>
        <c:axId val="469463695"/>
        <c:scaling>
          <c:orientation val="minMax"/>
        </c:scaling>
        <c:delete val="1"/>
        <c:axPos val="l"/>
        <c:numFmt formatCode="General" sourceLinked="1"/>
        <c:majorTickMark val="none"/>
        <c:minorTickMark val="none"/>
        <c:tickLblPos val="nextTo"/>
        <c:crossAx val="469464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[Dataset.xlsx]Pivot!PivotTable13</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Pivot!$A$4:$A$23</c:f>
              <c:strCache>
                <c:ptCount val="19"/>
                <c:pt idx="0">
                  <c:v>5-Jan-24</c:v>
                </c:pt>
                <c:pt idx="1">
                  <c:v>6-Jan-24</c:v>
                </c:pt>
                <c:pt idx="2">
                  <c:v>7-Jan-24</c:v>
                </c:pt>
                <c:pt idx="3">
                  <c:v>8-Jan-24</c:v>
                </c:pt>
                <c:pt idx="4">
                  <c:v>10-Jan-24</c:v>
                </c:pt>
                <c:pt idx="5">
                  <c:v>11-Jan-24</c:v>
                </c:pt>
                <c:pt idx="6">
                  <c:v>13-Jan-24</c:v>
                </c:pt>
                <c:pt idx="7">
                  <c:v>15-Jan-24</c:v>
                </c:pt>
                <c:pt idx="8">
                  <c:v>17-Jan-24</c:v>
                </c:pt>
                <c:pt idx="9">
                  <c:v>18-Jan-24</c:v>
                </c:pt>
                <c:pt idx="10">
                  <c:v>19-Jan-24</c:v>
                </c:pt>
                <c:pt idx="11">
                  <c:v>20-Jan-24</c:v>
                </c:pt>
                <c:pt idx="12">
                  <c:v>22-Jan-24</c:v>
                </c:pt>
                <c:pt idx="13">
                  <c:v>23-Jan-24</c:v>
                </c:pt>
                <c:pt idx="14">
                  <c:v>24-Jan-24</c:v>
                </c:pt>
                <c:pt idx="15">
                  <c:v>26-Jan-24</c:v>
                </c:pt>
                <c:pt idx="16">
                  <c:v>28-Jan-24</c:v>
                </c:pt>
                <c:pt idx="17">
                  <c:v>29-Jan-24</c:v>
                </c:pt>
                <c:pt idx="18">
                  <c:v>30-Jan-24</c:v>
                </c:pt>
              </c:strCache>
            </c:strRef>
          </c:cat>
          <c:val>
            <c:numRef>
              <c:f>Pivot!$B$4:$B$23</c:f>
              <c:numCache>
                <c:formatCode>General</c:formatCode>
                <c:ptCount val="19"/>
                <c:pt idx="0">
                  <c:v>500</c:v>
                </c:pt>
                <c:pt idx="1">
                  <c:v>200</c:v>
                </c:pt>
                <c:pt idx="2">
                  <c:v>375</c:v>
                </c:pt>
                <c:pt idx="3">
                  <c:v>250</c:v>
                </c:pt>
                <c:pt idx="4">
                  <c:v>150</c:v>
                </c:pt>
                <c:pt idx="5">
                  <c:v>600</c:v>
                </c:pt>
                <c:pt idx="6">
                  <c:v>200</c:v>
                </c:pt>
                <c:pt idx="7">
                  <c:v>180</c:v>
                </c:pt>
                <c:pt idx="8">
                  <c:v>550</c:v>
                </c:pt>
                <c:pt idx="9">
                  <c:v>400</c:v>
                </c:pt>
                <c:pt idx="10">
                  <c:v>200</c:v>
                </c:pt>
                <c:pt idx="11">
                  <c:v>280</c:v>
                </c:pt>
                <c:pt idx="12">
                  <c:v>700</c:v>
                </c:pt>
                <c:pt idx="13">
                  <c:v>280</c:v>
                </c:pt>
                <c:pt idx="14">
                  <c:v>300</c:v>
                </c:pt>
                <c:pt idx="15">
                  <c:v>125</c:v>
                </c:pt>
                <c:pt idx="16">
                  <c:v>160</c:v>
                </c:pt>
                <c:pt idx="17">
                  <c:v>500</c:v>
                </c:pt>
                <c:pt idx="18">
                  <c:v>150</c:v>
                </c:pt>
              </c:numCache>
            </c:numRef>
          </c:val>
          <c:smooth val="0"/>
          <c:extLst>
            <c:ext xmlns:c16="http://schemas.microsoft.com/office/drawing/2014/chart" uri="{C3380CC4-5D6E-409C-BE32-E72D297353CC}">
              <c16:uniqueId val="{00000000-DBED-4EE7-A4E8-A5A97D112781}"/>
            </c:ext>
          </c:extLst>
        </c:ser>
        <c:dLbls>
          <c:dLblPos val="t"/>
          <c:showLegendKey val="0"/>
          <c:showVal val="1"/>
          <c:showCatName val="0"/>
          <c:showSerName val="0"/>
          <c:showPercent val="0"/>
          <c:showBubbleSize val="0"/>
        </c:dLbls>
        <c:marker val="1"/>
        <c:smooth val="0"/>
        <c:axId val="469464655"/>
        <c:axId val="469463695"/>
      </c:lineChart>
      <c:catAx>
        <c:axId val="46946465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9463695"/>
        <c:crosses val="autoZero"/>
        <c:auto val="1"/>
        <c:lblAlgn val="ctr"/>
        <c:lblOffset val="100"/>
        <c:noMultiLvlLbl val="0"/>
      </c:catAx>
      <c:valAx>
        <c:axId val="469463695"/>
        <c:scaling>
          <c:orientation val="minMax"/>
        </c:scaling>
        <c:delete val="1"/>
        <c:axPos val="l"/>
        <c:numFmt formatCode="General" sourceLinked="1"/>
        <c:majorTickMark val="none"/>
        <c:minorTickMark val="none"/>
        <c:tickLblPos val="nextTo"/>
        <c:crossAx val="469464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5</xdr:col>
      <xdr:colOff>400050</xdr:colOff>
      <xdr:row>2</xdr:row>
      <xdr:rowOff>85726</xdr:rowOff>
    </xdr:from>
    <xdr:to>
      <xdr:col>11</xdr:col>
      <xdr:colOff>285749</xdr:colOff>
      <xdr:row>10</xdr:row>
      <xdr:rowOff>190500</xdr:rowOff>
    </xdr:to>
    <xdr:sp macro="" textlink="">
      <xdr:nvSpPr>
        <xdr:cNvPr id="4" name="Rectangle: Rounded Corners 3">
          <a:extLst>
            <a:ext uri="{FF2B5EF4-FFF2-40B4-BE49-F238E27FC236}">
              <a16:creationId xmlns:a16="http://schemas.microsoft.com/office/drawing/2014/main" id="{DF3B79A2-F77F-3140-BB25-F414CA1309BD}"/>
            </a:ext>
          </a:extLst>
        </xdr:cNvPr>
        <xdr:cNvSpPr/>
      </xdr:nvSpPr>
      <xdr:spPr>
        <a:xfrm>
          <a:off x="4324350" y="485776"/>
          <a:ext cx="3543299" cy="1438274"/>
        </a:xfrm>
        <a:prstGeom prst="roundRect">
          <a:avLst>
            <a:gd name="adj" fmla="val 3004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1">
              <a:solidFill>
                <a:schemeClr val="bg2"/>
              </a:solidFill>
              <a:effectLst/>
              <a:latin typeface="Cambria" panose="02040503050406030204" pitchFamily="18" charset="0"/>
              <a:ea typeface="Cambria" panose="02040503050406030204" pitchFamily="18" charset="0"/>
              <a:cs typeface="+mn-cs"/>
            </a:rPr>
            <a:t>Solution:- we can calculate total</a:t>
          </a:r>
          <a:r>
            <a:rPr lang="en-US" sz="1100" b="1" baseline="0">
              <a:solidFill>
                <a:schemeClr val="bg2"/>
              </a:solidFill>
              <a:effectLst/>
              <a:latin typeface="Cambria" panose="02040503050406030204" pitchFamily="18" charset="0"/>
              <a:ea typeface="Cambria" panose="02040503050406030204" pitchFamily="18" charset="0"/>
              <a:cs typeface="+mn-cs"/>
            </a:rPr>
            <a:t> sales of Car and Bicycle ony out of total sales then we can use this formula.</a:t>
          </a:r>
        </a:p>
        <a:p>
          <a:endParaRPr lang="en-US" b="1">
            <a:solidFill>
              <a:schemeClr val="bg2"/>
            </a:solidFill>
            <a:effectLst/>
            <a:latin typeface="Cambria" panose="02040503050406030204" pitchFamily="18" charset="0"/>
            <a:ea typeface="Cambria" panose="02040503050406030204" pitchFamily="18" charset="0"/>
          </a:endParaRPr>
        </a:p>
        <a:p>
          <a:r>
            <a:rPr lang="en-US" sz="1100" b="1" baseline="0">
              <a:solidFill>
                <a:schemeClr val="bg2"/>
              </a:solidFill>
              <a:effectLst/>
              <a:latin typeface="Cambria" panose="02040503050406030204" pitchFamily="18" charset="0"/>
              <a:ea typeface="Cambria" panose="02040503050406030204" pitchFamily="18" charset="0"/>
              <a:cs typeface="+mn-cs"/>
            </a:rPr>
            <a:t>Formula: =SUM(SUMIF(B5:B7,{"Car","Bicycle"},C5:C7))</a:t>
          </a:r>
          <a:endParaRPr lang="en-US" b="1">
            <a:solidFill>
              <a:schemeClr val="bg2"/>
            </a:solidFill>
            <a:effectLst/>
            <a:latin typeface="Cambria" panose="02040503050406030204" pitchFamily="18" charset="0"/>
            <a:ea typeface="Cambria" panose="02040503050406030204" pitchFamily="18" charset="0"/>
          </a:endParaRPr>
        </a:p>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276225</xdr:colOff>
      <xdr:row>2</xdr:row>
      <xdr:rowOff>66675</xdr:rowOff>
    </xdr:from>
    <xdr:to>
      <xdr:col>11</xdr:col>
      <xdr:colOff>504825</xdr:colOff>
      <xdr:row>8</xdr:row>
      <xdr:rowOff>85725</xdr:rowOff>
    </xdr:to>
    <xdr:sp macro="" textlink="">
      <xdr:nvSpPr>
        <xdr:cNvPr id="4" name="Rectangle: Rounded Corners 3">
          <a:extLst>
            <a:ext uri="{FF2B5EF4-FFF2-40B4-BE49-F238E27FC236}">
              <a16:creationId xmlns:a16="http://schemas.microsoft.com/office/drawing/2014/main" id="{5EF7C983-B246-9720-BC56-DAA3FD0EB945}"/>
            </a:ext>
          </a:extLst>
        </xdr:cNvPr>
        <xdr:cNvSpPr/>
      </xdr:nvSpPr>
      <xdr:spPr>
        <a:xfrm>
          <a:off x="3352800" y="704850"/>
          <a:ext cx="3886200" cy="990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b="1">
              <a:solidFill>
                <a:schemeClr val="lt1"/>
              </a:solidFill>
              <a:effectLst/>
              <a:latin typeface="Cambria" panose="02040503050406030204" pitchFamily="18" charset="0"/>
              <a:ea typeface="Cambria" panose="02040503050406030204" pitchFamily="18" charset="0"/>
              <a:cs typeface="+mn-cs"/>
            </a:rPr>
            <a:t>Answer  : For</a:t>
          </a:r>
          <a:r>
            <a:rPr lang="en-US" sz="1100" b="1" baseline="0">
              <a:solidFill>
                <a:schemeClr val="lt1"/>
              </a:solidFill>
              <a:effectLst/>
              <a:latin typeface="Cambria" panose="02040503050406030204" pitchFamily="18" charset="0"/>
              <a:ea typeface="Cambria" panose="02040503050406030204" pitchFamily="18" charset="0"/>
              <a:cs typeface="+mn-cs"/>
            </a:rPr>
            <a:t> Calculating Average of Price Above 100 but less then 300 we need to use Averageifs Folmula</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500" b="1" baseline="0">
            <a:solidFill>
              <a:schemeClr val="lt1"/>
            </a:solidFill>
            <a:effectLst/>
            <a:latin typeface="Cambria" panose="02040503050406030204" pitchFamily="18" charset="0"/>
            <a:ea typeface="Cambria" panose="02040503050406030204" pitchFamily="18" charset="0"/>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1" baseline="0">
              <a:solidFill>
                <a:schemeClr val="lt1"/>
              </a:solidFill>
              <a:effectLst/>
              <a:latin typeface="Cambria" panose="02040503050406030204" pitchFamily="18" charset="0"/>
              <a:ea typeface="Cambria" panose="02040503050406030204" pitchFamily="18" charset="0"/>
              <a:cs typeface="+mn-cs"/>
            </a:rPr>
            <a:t>Formula : AVERAGEIFS(E5:E7,D5:D7,"&gt;100",D5:D7,"&lt;300")</a:t>
          </a:r>
          <a:endParaRPr lang="en-US">
            <a:effectLst/>
            <a:latin typeface="Cambria" panose="02040503050406030204" pitchFamily="18" charset="0"/>
            <a:ea typeface="Cambria" panose="02040503050406030204" pitchFamily="18" charset="0"/>
          </a:endParaRPr>
        </a:p>
        <a:p>
          <a:pPr algn="l"/>
          <a:endParaRPr lang="en-US" sz="1100">
            <a:latin typeface="Cambria" panose="02040503050406030204" pitchFamily="18" charset="0"/>
            <a:ea typeface="Cambria" panose="020405030504060302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352425</xdr:colOff>
      <xdr:row>4</xdr:row>
      <xdr:rowOff>133350</xdr:rowOff>
    </xdr:from>
    <xdr:to>
      <xdr:col>10</xdr:col>
      <xdr:colOff>47625</xdr:colOff>
      <xdr:row>21</xdr:row>
      <xdr:rowOff>123825</xdr:rowOff>
    </xdr:to>
    <xdr:graphicFrame macro="">
      <xdr:nvGraphicFramePr>
        <xdr:cNvPr id="2" name="Chart 1">
          <a:extLst>
            <a:ext uri="{FF2B5EF4-FFF2-40B4-BE49-F238E27FC236}">
              <a16:creationId xmlns:a16="http://schemas.microsoft.com/office/drawing/2014/main" id="{A931354C-42F6-05F9-1FBE-7F05A9A944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6</xdr:row>
      <xdr:rowOff>28575</xdr:rowOff>
    </xdr:from>
    <xdr:to>
      <xdr:col>15</xdr:col>
      <xdr:colOff>0</xdr:colOff>
      <xdr:row>23</xdr:row>
      <xdr:rowOff>19050</xdr:rowOff>
    </xdr:to>
    <xdr:graphicFrame macro="">
      <xdr:nvGraphicFramePr>
        <xdr:cNvPr id="2" name="Chart 1">
          <a:extLst>
            <a:ext uri="{FF2B5EF4-FFF2-40B4-BE49-F238E27FC236}">
              <a16:creationId xmlns:a16="http://schemas.microsoft.com/office/drawing/2014/main" id="{298B0CCD-45D1-4710-B415-87F11DC4AA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9525</xdr:colOff>
      <xdr:row>6</xdr:row>
      <xdr:rowOff>38100</xdr:rowOff>
    </xdr:from>
    <xdr:to>
      <xdr:col>19</xdr:col>
      <xdr:colOff>19050</xdr:colOff>
      <xdr:row>13</xdr:row>
      <xdr:rowOff>38100</xdr:rowOff>
    </xdr:to>
    <mc:AlternateContent xmlns:mc="http://schemas.openxmlformats.org/markup-compatibility/2006" xmlns:a14="http://schemas.microsoft.com/office/drawing/2010/main">
      <mc:Choice Requires="a14">
        <xdr:graphicFrame macro="">
          <xdr:nvGraphicFramePr>
            <xdr:cNvPr id="3" name="Months (OrderDate) 1">
              <a:extLst>
                <a:ext uri="{FF2B5EF4-FFF2-40B4-BE49-F238E27FC236}">
                  <a16:creationId xmlns:a16="http://schemas.microsoft.com/office/drawing/2014/main" id="{EBDBF1BB-D94A-47AD-9A07-C778FA9CE39E}"/>
                </a:ext>
              </a:extLst>
            </xdr:cNvPr>
            <xdr:cNvGraphicFramePr/>
          </xdr:nvGraphicFramePr>
          <xdr:xfrm>
            <a:off x="0" y="0"/>
            <a:ext cx="0" cy="0"/>
          </xdr:xfrm>
          <a:graphic>
            <a:graphicData uri="http://schemas.microsoft.com/office/drawing/2010/slicer">
              <sle:slicer xmlns:sle="http://schemas.microsoft.com/office/drawing/2010/slicer" name="Months (OrderDate) 1"/>
            </a:graphicData>
          </a:graphic>
        </xdr:graphicFrame>
      </mc:Choice>
      <mc:Fallback xmlns="">
        <xdr:sp macro="" textlink="">
          <xdr:nvSpPr>
            <xdr:cNvPr id="0" name=""/>
            <xdr:cNvSpPr>
              <a:spLocks noTextEdit="1"/>
            </xdr:cNvSpPr>
          </xdr:nvSpPr>
          <xdr:spPr>
            <a:xfrm>
              <a:off x="9763125" y="1238250"/>
              <a:ext cx="1666875" cy="1133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xdr:col>
      <xdr:colOff>1152525</xdr:colOff>
      <xdr:row>33</xdr:row>
      <xdr:rowOff>57150</xdr:rowOff>
    </xdr:from>
    <xdr:to>
      <xdr:col>16</xdr:col>
      <xdr:colOff>533400</xdr:colOff>
      <xdr:row>50</xdr:row>
      <xdr:rowOff>47625</xdr:rowOff>
    </xdr:to>
    <xdr:graphicFrame macro="">
      <xdr:nvGraphicFramePr>
        <xdr:cNvPr id="3" name="Chart 2">
          <a:extLst>
            <a:ext uri="{FF2B5EF4-FFF2-40B4-BE49-F238E27FC236}">
              <a16:creationId xmlns:a16="http://schemas.microsoft.com/office/drawing/2014/main" id="{1F143EA8-74D8-5EEB-BBF7-6C3DAAF8C0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447675</xdr:colOff>
      <xdr:row>31</xdr:row>
      <xdr:rowOff>114300</xdr:rowOff>
    </xdr:from>
    <xdr:to>
      <xdr:col>19</xdr:col>
      <xdr:colOff>447675</xdr:colOff>
      <xdr:row>46</xdr:row>
      <xdr:rowOff>66675</xdr:rowOff>
    </xdr:to>
    <mc:AlternateContent xmlns:mc="http://schemas.openxmlformats.org/markup-compatibility/2006" xmlns:a14="http://schemas.microsoft.com/office/drawing/2010/main">
      <mc:Choice Requires="a14">
        <xdr:graphicFrame macro="">
          <xdr:nvGraphicFramePr>
            <xdr:cNvPr id="4" name="Months (OrderDate)">
              <a:extLst>
                <a:ext uri="{FF2B5EF4-FFF2-40B4-BE49-F238E27FC236}">
                  <a16:creationId xmlns:a16="http://schemas.microsoft.com/office/drawing/2014/main" id="{3B5D35E9-64BA-114B-0DB0-3E95C4A4DC55}"/>
                </a:ext>
              </a:extLst>
            </xdr:cNvPr>
            <xdr:cNvGraphicFramePr/>
          </xdr:nvGraphicFramePr>
          <xdr:xfrm>
            <a:off x="0" y="0"/>
            <a:ext cx="0" cy="0"/>
          </xdr:xfrm>
          <a:graphic>
            <a:graphicData uri="http://schemas.microsoft.com/office/drawing/2010/slicer">
              <sle:slicer xmlns:sle="http://schemas.microsoft.com/office/drawing/2010/slicer" name="Months (OrderDate)"/>
            </a:graphicData>
          </a:graphic>
        </xdr:graphicFrame>
      </mc:Choice>
      <mc:Fallback xmlns="">
        <xdr:sp macro="" textlink="">
          <xdr:nvSpPr>
            <xdr:cNvPr id="0" name=""/>
            <xdr:cNvSpPr>
              <a:spLocks noTextEdit="1"/>
            </xdr:cNvSpPr>
          </xdr:nvSpPr>
          <xdr:spPr>
            <a:xfrm>
              <a:off x="11382375" y="5133975"/>
              <a:ext cx="1828800" cy="2381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00.052866782411" createdVersion="8" refreshedVersion="8" minRefreshableVersion="3" recordCount="50" xr:uid="{656C4A8D-E48C-4564-AD3C-46F954EF5020}">
  <cacheSource type="worksheet">
    <worksheetSource ref="A1:G51" sheet="Question 4, 5, 6"/>
  </cacheSource>
  <cacheFields count="8">
    <cacheField name="OrderID" numFmtId="0">
      <sharedItems containsSemiMixedTypes="0" containsString="0" containsNumber="1" containsInteger="1" minValue="1001" maxValue="1050"/>
    </cacheField>
    <cacheField name="CustomerName" numFmtId="0">
      <sharedItems/>
    </cacheField>
    <cacheField name="Region" numFmtId="0">
      <sharedItems/>
    </cacheField>
    <cacheField name="Product" numFmtId="0">
      <sharedItems count="5">
        <s v="Notebook"/>
        <s v="Pen"/>
        <s v="Marker"/>
        <s v="Pencil"/>
        <s v="Eraser"/>
      </sharedItems>
    </cacheField>
    <cacheField name="Quantity" numFmtId="0">
      <sharedItems containsSemiMixedTypes="0" containsString="0" containsNumber="1" containsInteger="1" minValue="5" maxValue="40"/>
    </cacheField>
    <cacheField name="UnitPrice" numFmtId="0">
      <sharedItems containsSemiMixedTypes="0" containsString="0" containsNumber="1" containsInteger="1" minValue="5" maxValue="50"/>
    </cacheField>
    <cacheField name="Total Sales" numFmtId="0">
      <sharedItems containsSemiMixedTypes="0" containsString="0" containsNumber="1" containsInteger="1" minValue="90" maxValue="850"/>
    </cacheField>
    <cacheField name="OrderDate" numFmtId="0">
      <sharedItems containsDate="1" containsMixedTypes="1" minDate="2024-01-02T00:00:00" maxDate="2024-12-03T00: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00.066541203705" createdVersion="8" refreshedVersion="8" minRefreshableVersion="3" recordCount="50" xr:uid="{4C52D131-7F5B-4880-BC60-9EEB4012E98B}">
  <cacheSource type="worksheet">
    <worksheetSource ref="A1:H51" sheet="Question 4, 5, 6"/>
  </cacheSource>
  <cacheFields count="10">
    <cacheField name="OrderID" numFmtId="0">
      <sharedItems containsSemiMixedTypes="0" containsString="0" containsNumber="1" containsInteger="1" minValue="1001" maxValue="1050"/>
    </cacheField>
    <cacheField name="CustomerName" numFmtId="0">
      <sharedItems/>
    </cacheField>
    <cacheField name="Region" numFmtId="0">
      <sharedItems/>
    </cacheField>
    <cacheField name="Product" numFmtId="0">
      <sharedItems/>
    </cacheField>
    <cacheField name="Quantity" numFmtId="0">
      <sharedItems containsSemiMixedTypes="0" containsString="0" containsNumber="1" containsInteger="1" minValue="5" maxValue="40"/>
    </cacheField>
    <cacheField name="UnitPrice" numFmtId="0">
      <sharedItems containsSemiMixedTypes="0" containsString="0" containsNumber="1" containsInteger="1" minValue="5" maxValue="50"/>
    </cacheField>
    <cacheField name="OrderDate" numFmtId="15">
      <sharedItems containsSemiMixedTypes="0" containsNonDate="0" containsDate="1" containsString="0" minDate="2024-01-05T00:00:00" maxDate="2024-03-09T00:00:00" count="50">
        <d v="2024-01-05T00:00:00"/>
        <d v="2024-01-06T00:00:00"/>
        <d v="2024-01-07T00:00:00"/>
        <d v="2024-01-08T00:00:00"/>
        <d v="2024-01-10T00:00:00"/>
        <d v="2024-01-11T00:00:00"/>
        <d v="2024-01-13T00:00:00"/>
        <d v="2024-01-15T00:00:00"/>
        <d v="2024-01-17T00:00:00"/>
        <d v="2024-01-18T00:00:00"/>
        <d v="2024-01-19T00:00:00"/>
        <d v="2024-01-20T00:00:00"/>
        <d v="2024-01-22T00:00:00"/>
        <d v="2024-01-23T00:00:00"/>
        <d v="2024-01-24T00:00:00"/>
        <d v="2024-01-26T00:00:00"/>
        <d v="2024-01-28T00:00:00"/>
        <d v="2024-01-29T00:00:00"/>
        <d v="2024-01-30T00:00:00"/>
        <d v="2024-02-01T00:00:00"/>
        <d v="2024-02-02T00:00:00"/>
        <d v="2024-02-03T00:00:00"/>
        <d v="2024-02-04T00:00:00"/>
        <d v="2024-02-06T00:00:00"/>
        <d v="2024-02-07T00:00:00"/>
        <d v="2024-02-08T00:00:00"/>
        <d v="2024-02-09T00:00:00"/>
        <d v="2024-02-10T00:00:00"/>
        <d v="2024-02-12T00:00:00"/>
        <d v="2024-02-13T00:00:00"/>
        <d v="2024-02-14T00:00:00"/>
        <d v="2024-02-16T00:00:00"/>
        <d v="2024-02-17T00:00:00"/>
        <d v="2024-02-18T00:00:00"/>
        <d v="2024-02-19T00:00:00"/>
        <d v="2024-02-21T00:00:00"/>
        <d v="2024-02-22T00:00:00"/>
        <d v="2024-02-23T00:00:00"/>
        <d v="2024-02-25T00:00:00"/>
        <d v="2024-02-26T00:00:00"/>
        <d v="2024-02-27T00:00:00"/>
        <d v="2024-02-28T00:00:00"/>
        <d v="2024-03-01T00:00:00"/>
        <d v="2024-03-02T00:00:00"/>
        <d v="2024-03-03T00:00:00"/>
        <d v="2024-03-04T00:00:00"/>
        <d v="2024-03-05T00:00:00"/>
        <d v="2024-03-06T00:00:00"/>
        <d v="2024-03-07T00:00:00"/>
        <d v="2024-03-08T00:00:00"/>
      </sharedItems>
      <fieldGroup par="9"/>
    </cacheField>
    <cacheField name="Total Sales" numFmtId="0">
      <sharedItems containsSemiMixedTypes="0" containsString="0" containsNumber="1" containsInteger="1" minValue="90" maxValue="850"/>
    </cacheField>
    <cacheField name="Days (OrderDate)" numFmtId="0" databaseField="0">
      <fieldGroup base="6">
        <rangePr groupBy="days" startDate="2024-01-05T00:00:00" endDate="2024-03-09T00:00:00"/>
        <groupItems count="368">
          <s v="&lt;1/5/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9/2024"/>
        </groupItems>
      </fieldGroup>
    </cacheField>
    <cacheField name="Months (OrderDate)" numFmtId="0" databaseField="0">
      <fieldGroup base="6">
        <rangePr groupBy="months" startDate="2024-01-05T00:00:00" endDate="2024-03-09T00:00:00"/>
        <groupItems count="14">
          <s v="&lt;1/5/2024"/>
          <s v="Jan"/>
          <s v="Feb"/>
          <s v="Mar"/>
          <s v="Apr"/>
          <s v="May"/>
          <s v="Jun"/>
          <s v="Jul"/>
          <s v="Aug"/>
          <s v="Sep"/>
          <s v="Oct"/>
          <s v="Nov"/>
          <s v="Dec"/>
          <s v="&gt;3/9/2024"/>
        </groupItems>
      </fieldGroup>
    </cacheField>
  </cacheFields>
  <extLst>
    <ext xmlns:x14="http://schemas.microsoft.com/office/spreadsheetml/2009/9/main" uri="{725AE2AE-9491-48be-B2B4-4EB974FC3084}">
      <x14:pivotCacheDefinition pivotCacheId="20959238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001"/>
    <s v="Amit Sharma"/>
    <s v="North"/>
    <x v="0"/>
    <n v="10"/>
    <n v="50"/>
    <n v="500"/>
    <d v="2024-05-01T00:00:00"/>
  </r>
  <r>
    <n v="1002"/>
    <s v="Neha Verma"/>
    <s v="South"/>
    <x v="1"/>
    <n v="20"/>
    <n v="10"/>
    <n v="200"/>
    <d v="2024-06-01T00:00:00"/>
  </r>
  <r>
    <n v="1003"/>
    <s v="Rahul Singh"/>
    <s v="East"/>
    <x v="2"/>
    <n v="15"/>
    <n v="25"/>
    <n v="375"/>
    <d v="2024-07-01T00:00:00"/>
  </r>
  <r>
    <n v="1004"/>
    <s v="Pooja Mehta"/>
    <s v="West"/>
    <x v="0"/>
    <n v="5"/>
    <n v="50"/>
    <n v="250"/>
    <d v="2024-08-01T00:00:00"/>
  </r>
  <r>
    <n v="1005"/>
    <s v="Ankit Jain"/>
    <s v="North"/>
    <x v="3"/>
    <n v="30"/>
    <n v="5"/>
    <n v="150"/>
    <d v="2024-10-01T00:00:00"/>
  </r>
  <r>
    <n v="1006"/>
    <s v="Sneha Patel"/>
    <s v="South"/>
    <x v="0"/>
    <n v="12"/>
    <n v="50"/>
    <n v="600"/>
    <d v="2024-11-01T00:00:00"/>
  </r>
  <r>
    <n v="1007"/>
    <s v="Vikas Gupta"/>
    <s v="East"/>
    <x v="4"/>
    <n v="25"/>
    <n v="8"/>
    <n v="200"/>
    <s v="13-01-2024"/>
  </r>
  <r>
    <n v="1008"/>
    <s v="Meera Nair"/>
    <s v="West"/>
    <x v="1"/>
    <n v="18"/>
    <n v="10"/>
    <n v="180"/>
    <s v="15-01-2024"/>
  </r>
  <r>
    <n v="1009"/>
    <s v="Anjali Rao"/>
    <s v="North"/>
    <x v="2"/>
    <n v="22"/>
    <n v="25"/>
    <n v="550"/>
    <s v="17-01-2024"/>
  </r>
  <r>
    <n v="1010"/>
    <s v="Manoj Das"/>
    <s v="South"/>
    <x v="0"/>
    <n v="8"/>
    <n v="50"/>
    <n v="400"/>
    <s v="18-01-2024"/>
  </r>
  <r>
    <n v="1011"/>
    <s v="Ritika Sen"/>
    <s v="East"/>
    <x v="3"/>
    <n v="40"/>
    <n v="5"/>
    <n v="200"/>
    <s v="19-01-2024"/>
  </r>
  <r>
    <n v="1012"/>
    <s v="Karan Malhotra"/>
    <s v="West"/>
    <x v="4"/>
    <n v="35"/>
    <n v="8"/>
    <n v="280"/>
    <s v="20-01-2024"/>
  </r>
  <r>
    <n v="1013"/>
    <s v="Aryan Joshi"/>
    <s v="North"/>
    <x v="0"/>
    <n v="14"/>
    <n v="50"/>
    <n v="700"/>
    <s v="22-01-2024"/>
  </r>
  <r>
    <n v="1014"/>
    <s v="Divya Kapoor"/>
    <s v="South"/>
    <x v="1"/>
    <n v="28"/>
    <n v="10"/>
    <n v="280"/>
    <s v="23-01-2024"/>
  </r>
  <r>
    <n v="1015"/>
    <s v="Sahil Arora"/>
    <s v="East"/>
    <x v="2"/>
    <n v="12"/>
    <n v="25"/>
    <n v="300"/>
    <s v="24-01-2024"/>
  </r>
  <r>
    <n v="1016"/>
    <s v="Muskan Jain"/>
    <s v="West"/>
    <x v="3"/>
    <n v="25"/>
    <n v="5"/>
    <n v="125"/>
    <s v="26-01-2024"/>
  </r>
  <r>
    <n v="1017"/>
    <s v="Rohan Gupta"/>
    <s v="North"/>
    <x v="4"/>
    <n v="20"/>
    <n v="8"/>
    <n v="160"/>
    <s v="28-01-2024"/>
  </r>
  <r>
    <n v="1018"/>
    <s v="Nidhi Sharma"/>
    <s v="South"/>
    <x v="0"/>
    <n v="10"/>
    <n v="50"/>
    <n v="500"/>
    <s v="29-01-2024"/>
  </r>
  <r>
    <n v="1019"/>
    <s v="Tarun Verma"/>
    <s v="East"/>
    <x v="1"/>
    <n v="15"/>
    <n v="10"/>
    <n v="150"/>
    <s v="30-01-2024"/>
  </r>
  <r>
    <n v="1020"/>
    <s v="Simran Kaur"/>
    <s v="West"/>
    <x v="2"/>
    <n v="18"/>
    <n v="25"/>
    <n v="450"/>
    <d v="2024-01-02T00:00:00"/>
  </r>
  <r>
    <n v="1021"/>
    <s v="Deepak Rao"/>
    <s v="North"/>
    <x v="0"/>
    <n v="9"/>
    <n v="50"/>
    <n v="450"/>
    <d v="2024-02-02T00:00:00"/>
  </r>
  <r>
    <n v="1022"/>
    <s v="Payal Mehta"/>
    <s v="South"/>
    <x v="3"/>
    <n v="35"/>
    <n v="5"/>
    <n v="175"/>
    <d v="2024-03-02T00:00:00"/>
  </r>
  <r>
    <n v="1023"/>
    <s v="Aditya Singh"/>
    <s v="East"/>
    <x v="4"/>
    <n v="30"/>
    <n v="8"/>
    <n v="240"/>
    <d v="2024-04-02T00:00:00"/>
  </r>
  <r>
    <n v="1024"/>
    <s v="Shreya Nair"/>
    <s v="West"/>
    <x v="0"/>
    <n v="11"/>
    <n v="50"/>
    <n v="550"/>
    <d v="2024-06-02T00:00:00"/>
  </r>
  <r>
    <n v="1025"/>
    <s v="Sanjay Kumar"/>
    <s v="North"/>
    <x v="1"/>
    <n v="14"/>
    <n v="10"/>
    <n v="140"/>
    <d v="2024-07-02T00:00:00"/>
  </r>
  <r>
    <n v="1026"/>
    <s v="Aarti Sharma"/>
    <s v="South"/>
    <x v="2"/>
    <n v="16"/>
    <n v="25"/>
    <n v="400"/>
    <d v="2024-08-02T00:00:00"/>
  </r>
  <r>
    <n v="1027"/>
    <s v="Rajesh Patel"/>
    <s v="East"/>
    <x v="3"/>
    <n v="22"/>
    <n v="5"/>
    <n v="110"/>
    <d v="2024-09-02T00:00:00"/>
  </r>
  <r>
    <n v="1028"/>
    <s v="Preeti Joshi"/>
    <s v="West"/>
    <x v="4"/>
    <n v="27"/>
    <n v="8"/>
    <n v="216"/>
    <d v="2024-10-02T00:00:00"/>
  </r>
  <r>
    <n v="1029"/>
    <s v="Anurag Mishra"/>
    <s v="North"/>
    <x v="0"/>
    <n v="13"/>
    <n v="50"/>
    <n v="650"/>
    <d v="2024-12-02T00:00:00"/>
  </r>
  <r>
    <n v="1030"/>
    <s v="Sanya Kapoor"/>
    <s v="South"/>
    <x v="1"/>
    <n v="32"/>
    <n v="10"/>
    <n v="320"/>
    <s v="13-02-2024"/>
  </r>
  <r>
    <n v="1031"/>
    <s v="Harsh Yadav"/>
    <s v="East"/>
    <x v="2"/>
    <n v="10"/>
    <n v="25"/>
    <n v="250"/>
    <s v="14-02-2024"/>
  </r>
  <r>
    <n v="1032"/>
    <s v="Kajal Rani"/>
    <s v="West"/>
    <x v="3"/>
    <n v="18"/>
    <n v="5"/>
    <n v="90"/>
    <s v="16-02-2024"/>
  </r>
  <r>
    <n v="1033"/>
    <s v="Varun Sharma"/>
    <s v="North"/>
    <x v="4"/>
    <n v="22"/>
    <n v="8"/>
    <n v="176"/>
    <s v="17-02-2024"/>
  </r>
  <r>
    <n v="1034"/>
    <s v="Swati Arora"/>
    <s v="South"/>
    <x v="0"/>
    <n v="17"/>
    <n v="50"/>
    <n v="850"/>
    <s v="18-02-2024"/>
  </r>
  <r>
    <n v="1035"/>
    <s v="Akhil Jain"/>
    <s v="East"/>
    <x v="1"/>
    <n v="19"/>
    <n v="10"/>
    <n v="190"/>
    <s v="19-02-2024"/>
  </r>
  <r>
    <n v="1036"/>
    <s v="Priyanka Das"/>
    <s v="West"/>
    <x v="2"/>
    <n v="15"/>
    <n v="25"/>
    <n v="375"/>
    <s v="21-02-2024"/>
  </r>
  <r>
    <n v="1037"/>
    <s v="Ravi Nair"/>
    <s v="North"/>
    <x v="3"/>
    <n v="28"/>
    <n v="5"/>
    <n v="140"/>
    <s v="22-02-2024"/>
  </r>
  <r>
    <n v="1038"/>
    <s v="Komal Singh"/>
    <s v="South"/>
    <x v="4"/>
    <n v="24"/>
    <n v="8"/>
    <n v="192"/>
    <s v="23-02-2024"/>
  </r>
  <r>
    <n v="1039"/>
    <s v="Ayesha Khan"/>
    <s v="East"/>
    <x v="0"/>
    <n v="16"/>
    <n v="50"/>
    <n v="800"/>
    <s v="25-02-2024"/>
  </r>
  <r>
    <n v="1040"/>
    <s v="Arjun Mehta"/>
    <s v="West"/>
    <x v="1"/>
    <n v="27"/>
    <n v="10"/>
    <n v="270"/>
    <s v="26-02-2024"/>
  </r>
  <r>
    <n v="1041"/>
    <s v="Sonali Gupta"/>
    <s v="North"/>
    <x v="2"/>
    <n v="21"/>
    <n v="25"/>
    <n v="525"/>
    <s v="27-02-2024"/>
  </r>
  <r>
    <n v="1042"/>
    <s v="Neeraj Kapoor"/>
    <s v="South"/>
    <x v="3"/>
    <n v="30"/>
    <n v="5"/>
    <n v="150"/>
    <s v="28-02-2024"/>
  </r>
  <r>
    <n v="1043"/>
    <s v="Shruti Sharma"/>
    <s v="East"/>
    <x v="4"/>
    <n v="26"/>
    <n v="8"/>
    <n v="208"/>
    <d v="2024-01-03T00:00:00"/>
  </r>
  <r>
    <n v="1044"/>
    <s v="Yash Arora"/>
    <s v="West"/>
    <x v="0"/>
    <n v="14"/>
    <n v="50"/>
    <n v="700"/>
    <d v="2024-02-03T00:00:00"/>
  </r>
  <r>
    <n v="1045"/>
    <s v="Manish Das"/>
    <s v="North"/>
    <x v="1"/>
    <n v="20"/>
    <n v="10"/>
    <n v="200"/>
    <d v="2024-03-03T00:00:00"/>
  </r>
  <r>
    <n v="1046"/>
    <s v="Rupal Nair"/>
    <s v="South"/>
    <x v="2"/>
    <n v="17"/>
    <n v="25"/>
    <n v="425"/>
    <d v="2024-04-03T00:00:00"/>
  </r>
  <r>
    <n v="1047"/>
    <s v="Sonia Verma"/>
    <s v="East"/>
    <x v="3"/>
    <n v="19"/>
    <n v="5"/>
    <n v="95"/>
    <d v="2024-05-03T00:00:00"/>
  </r>
  <r>
    <n v="1048"/>
    <s v="Kunal Singh"/>
    <s v="West"/>
    <x v="4"/>
    <n v="32"/>
    <n v="8"/>
    <n v="256"/>
    <d v="2024-06-03T00:00:00"/>
  </r>
  <r>
    <n v="1049"/>
    <s v="Ritika Jain"/>
    <s v="North"/>
    <x v="0"/>
    <n v="12"/>
    <n v="50"/>
    <n v="600"/>
    <d v="2024-07-03T00:00:00"/>
  </r>
  <r>
    <n v="1050"/>
    <s v="Vivek Malhotra"/>
    <s v="South"/>
    <x v="1"/>
    <n v="25"/>
    <n v="10"/>
    <n v="250"/>
    <d v="2024-08-03T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001"/>
    <s v="Amit Sharma"/>
    <s v="North"/>
    <s v="Notebook"/>
    <n v="10"/>
    <n v="50"/>
    <x v="0"/>
    <n v="500"/>
  </r>
  <r>
    <n v="1002"/>
    <s v="Neha Verma"/>
    <s v="South"/>
    <s v="Pen"/>
    <n v="20"/>
    <n v="10"/>
    <x v="1"/>
    <n v="200"/>
  </r>
  <r>
    <n v="1003"/>
    <s v="Rahul Singh"/>
    <s v="East"/>
    <s v="Marker"/>
    <n v="15"/>
    <n v="25"/>
    <x v="2"/>
    <n v="375"/>
  </r>
  <r>
    <n v="1004"/>
    <s v="Pooja Mehta"/>
    <s v="West"/>
    <s v="Notebook"/>
    <n v="5"/>
    <n v="50"/>
    <x v="3"/>
    <n v="250"/>
  </r>
  <r>
    <n v="1005"/>
    <s v="Ankit Jain"/>
    <s v="North"/>
    <s v="Pencil"/>
    <n v="30"/>
    <n v="5"/>
    <x v="4"/>
    <n v="150"/>
  </r>
  <r>
    <n v="1006"/>
    <s v="Sneha Patel"/>
    <s v="South"/>
    <s v="Notebook"/>
    <n v="12"/>
    <n v="50"/>
    <x v="5"/>
    <n v="600"/>
  </r>
  <r>
    <n v="1007"/>
    <s v="Vikas Gupta"/>
    <s v="East"/>
    <s v="Eraser"/>
    <n v="25"/>
    <n v="8"/>
    <x v="6"/>
    <n v="200"/>
  </r>
  <r>
    <n v="1008"/>
    <s v="Meera Nair"/>
    <s v="West"/>
    <s v="Pen"/>
    <n v="18"/>
    <n v="10"/>
    <x v="7"/>
    <n v="180"/>
  </r>
  <r>
    <n v="1009"/>
    <s v="Anjali Rao"/>
    <s v="North"/>
    <s v="Marker"/>
    <n v="22"/>
    <n v="25"/>
    <x v="8"/>
    <n v="550"/>
  </r>
  <r>
    <n v="1010"/>
    <s v="Manoj Das"/>
    <s v="South"/>
    <s v="Notebook"/>
    <n v="8"/>
    <n v="50"/>
    <x v="9"/>
    <n v="400"/>
  </r>
  <r>
    <n v="1011"/>
    <s v="Ritika Sen"/>
    <s v="East"/>
    <s v="Pencil"/>
    <n v="40"/>
    <n v="5"/>
    <x v="10"/>
    <n v="200"/>
  </r>
  <r>
    <n v="1012"/>
    <s v="Karan Malhotra"/>
    <s v="West"/>
    <s v="Eraser"/>
    <n v="35"/>
    <n v="8"/>
    <x v="11"/>
    <n v="280"/>
  </r>
  <r>
    <n v="1013"/>
    <s v="Aryan Joshi"/>
    <s v="North"/>
    <s v="Notebook"/>
    <n v="14"/>
    <n v="50"/>
    <x v="12"/>
    <n v="700"/>
  </r>
  <r>
    <n v="1014"/>
    <s v="Divya Kapoor"/>
    <s v="South"/>
    <s v="Pen"/>
    <n v="28"/>
    <n v="10"/>
    <x v="13"/>
    <n v="280"/>
  </r>
  <r>
    <n v="1015"/>
    <s v="Sahil Arora"/>
    <s v="East"/>
    <s v="Marker"/>
    <n v="12"/>
    <n v="25"/>
    <x v="14"/>
    <n v="300"/>
  </r>
  <r>
    <n v="1016"/>
    <s v="Muskan Jain"/>
    <s v="West"/>
    <s v="Pencil"/>
    <n v="25"/>
    <n v="5"/>
    <x v="15"/>
    <n v="125"/>
  </r>
  <r>
    <n v="1017"/>
    <s v="Rohan Gupta"/>
    <s v="North"/>
    <s v="Eraser"/>
    <n v="20"/>
    <n v="8"/>
    <x v="16"/>
    <n v="160"/>
  </r>
  <r>
    <n v="1018"/>
    <s v="Nidhi Sharma"/>
    <s v="South"/>
    <s v="Notebook"/>
    <n v="10"/>
    <n v="50"/>
    <x v="17"/>
    <n v="500"/>
  </r>
  <r>
    <n v="1019"/>
    <s v="Tarun Verma"/>
    <s v="East"/>
    <s v="Pen"/>
    <n v="15"/>
    <n v="10"/>
    <x v="18"/>
    <n v="150"/>
  </r>
  <r>
    <n v="1020"/>
    <s v="Simran Kaur"/>
    <s v="West"/>
    <s v="Marker"/>
    <n v="18"/>
    <n v="25"/>
    <x v="19"/>
    <n v="450"/>
  </r>
  <r>
    <n v="1021"/>
    <s v="Deepak Rao"/>
    <s v="North"/>
    <s v="Notebook"/>
    <n v="9"/>
    <n v="50"/>
    <x v="20"/>
    <n v="450"/>
  </r>
  <r>
    <n v="1022"/>
    <s v="Payal Mehta"/>
    <s v="South"/>
    <s v="Pencil"/>
    <n v="35"/>
    <n v="5"/>
    <x v="21"/>
    <n v="175"/>
  </r>
  <r>
    <n v="1023"/>
    <s v="Aditya Singh"/>
    <s v="East"/>
    <s v="Eraser"/>
    <n v="30"/>
    <n v="8"/>
    <x v="22"/>
    <n v="240"/>
  </r>
  <r>
    <n v="1024"/>
    <s v="Shreya Nair"/>
    <s v="West"/>
    <s v="Notebook"/>
    <n v="11"/>
    <n v="50"/>
    <x v="23"/>
    <n v="550"/>
  </r>
  <r>
    <n v="1025"/>
    <s v="Sanjay Kumar"/>
    <s v="North"/>
    <s v="Pen"/>
    <n v="14"/>
    <n v="10"/>
    <x v="24"/>
    <n v="140"/>
  </r>
  <r>
    <n v="1026"/>
    <s v="Aarti Sharma"/>
    <s v="South"/>
    <s v="Marker"/>
    <n v="16"/>
    <n v="25"/>
    <x v="25"/>
    <n v="400"/>
  </r>
  <r>
    <n v="1027"/>
    <s v="Rajesh Patel"/>
    <s v="East"/>
    <s v="Pencil"/>
    <n v="22"/>
    <n v="5"/>
    <x v="26"/>
    <n v="110"/>
  </r>
  <r>
    <n v="1028"/>
    <s v="Preeti Joshi"/>
    <s v="West"/>
    <s v="Eraser"/>
    <n v="27"/>
    <n v="8"/>
    <x v="27"/>
    <n v="216"/>
  </r>
  <r>
    <n v="1029"/>
    <s v="Anurag Mishra"/>
    <s v="North"/>
    <s v="Notebook"/>
    <n v="13"/>
    <n v="50"/>
    <x v="28"/>
    <n v="650"/>
  </r>
  <r>
    <n v="1030"/>
    <s v="Sanya Kapoor"/>
    <s v="South"/>
    <s v="Pen"/>
    <n v="32"/>
    <n v="10"/>
    <x v="29"/>
    <n v="320"/>
  </r>
  <r>
    <n v="1031"/>
    <s v="Harsh Yadav"/>
    <s v="East"/>
    <s v="Marker"/>
    <n v="10"/>
    <n v="25"/>
    <x v="30"/>
    <n v="250"/>
  </r>
  <r>
    <n v="1032"/>
    <s v="Kajal Rani"/>
    <s v="West"/>
    <s v="Pencil"/>
    <n v="18"/>
    <n v="5"/>
    <x v="31"/>
    <n v="90"/>
  </r>
  <r>
    <n v="1033"/>
    <s v="Varun Sharma"/>
    <s v="North"/>
    <s v="Eraser"/>
    <n v="22"/>
    <n v="8"/>
    <x v="32"/>
    <n v="176"/>
  </r>
  <r>
    <n v="1034"/>
    <s v="Swati Arora"/>
    <s v="South"/>
    <s v="Notebook"/>
    <n v="17"/>
    <n v="50"/>
    <x v="33"/>
    <n v="850"/>
  </r>
  <r>
    <n v="1035"/>
    <s v="Akhil Jain"/>
    <s v="East"/>
    <s v="Pen"/>
    <n v="19"/>
    <n v="10"/>
    <x v="34"/>
    <n v="190"/>
  </r>
  <r>
    <n v="1036"/>
    <s v="Priyanka Das"/>
    <s v="West"/>
    <s v="Marker"/>
    <n v="15"/>
    <n v="25"/>
    <x v="35"/>
    <n v="375"/>
  </r>
  <r>
    <n v="1037"/>
    <s v="Ravi Nair"/>
    <s v="North"/>
    <s v="Pencil"/>
    <n v="28"/>
    <n v="5"/>
    <x v="36"/>
    <n v="140"/>
  </r>
  <r>
    <n v="1038"/>
    <s v="Komal Singh"/>
    <s v="South"/>
    <s v="Eraser"/>
    <n v="24"/>
    <n v="8"/>
    <x v="37"/>
    <n v="192"/>
  </r>
  <r>
    <n v="1039"/>
    <s v="Ayesha Khan"/>
    <s v="East"/>
    <s v="Notebook"/>
    <n v="16"/>
    <n v="50"/>
    <x v="38"/>
    <n v="800"/>
  </r>
  <r>
    <n v="1040"/>
    <s v="Arjun Mehta"/>
    <s v="West"/>
    <s v="Pen"/>
    <n v="27"/>
    <n v="10"/>
    <x v="39"/>
    <n v="270"/>
  </r>
  <r>
    <n v="1041"/>
    <s v="Sonali Gupta"/>
    <s v="North"/>
    <s v="Marker"/>
    <n v="21"/>
    <n v="25"/>
    <x v="40"/>
    <n v="525"/>
  </r>
  <r>
    <n v="1042"/>
    <s v="Neeraj Kapoor"/>
    <s v="South"/>
    <s v="Pencil"/>
    <n v="30"/>
    <n v="5"/>
    <x v="41"/>
    <n v="150"/>
  </r>
  <r>
    <n v="1043"/>
    <s v="Shruti Sharma"/>
    <s v="East"/>
    <s v="Eraser"/>
    <n v="26"/>
    <n v="8"/>
    <x v="42"/>
    <n v="208"/>
  </r>
  <r>
    <n v="1044"/>
    <s v="Yash Arora"/>
    <s v="West"/>
    <s v="Notebook"/>
    <n v="14"/>
    <n v="50"/>
    <x v="43"/>
    <n v="700"/>
  </r>
  <r>
    <n v="1045"/>
    <s v="Manish Das"/>
    <s v="North"/>
    <s v="Pen"/>
    <n v="20"/>
    <n v="10"/>
    <x v="44"/>
    <n v="200"/>
  </r>
  <r>
    <n v="1046"/>
    <s v="Rupal Nair"/>
    <s v="South"/>
    <s v="Marker"/>
    <n v="17"/>
    <n v="25"/>
    <x v="45"/>
    <n v="425"/>
  </r>
  <r>
    <n v="1047"/>
    <s v="Sonia Verma"/>
    <s v="East"/>
    <s v="Pencil"/>
    <n v="19"/>
    <n v="5"/>
    <x v="46"/>
    <n v="95"/>
  </r>
  <r>
    <n v="1048"/>
    <s v="Kunal Singh"/>
    <s v="West"/>
    <s v="Eraser"/>
    <n v="32"/>
    <n v="8"/>
    <x v="47"/>
    <n v="256"/>
  </r>
  <r>
    <n v="1049"/>
    <s v="Ritika Jain"/>
    <s v="North"/>
    <s v="Notebook"/>
    <n v="12"/>
    <n v="50"/>
    <x v="48"/>
    <n v="600"/>
  </r>
  <r>
    <n v="1050"/>
    <s v="Vivek Malhotra"/>
    <s v="South"/>
    <s v="Pen"/>
    <n v="25"/>
    <n v="10"/>
    <x v="49"/>
    <n v="2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DFA39B-711A-4409-81F5-025C742D90B8}"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6:B12" firstHeaderRow="1" firstDataRow="1" firstDataCol="1"/>
  <pivotFields count="8">
    <pivotField compact="0" outline="0" showAll="0"/>
    <pivotField compact="0" outline="0" showAll="0"/>
    <pivotField compact="0" outline="0" showAll="0"/>
    <pivotField axis="axisRow" compact="0" outline="0" showAll="0">
      <items count="6">
        <item x="4"/>
        <item x="2"/>
        <item x="0"/>
        <item x="1"/>
        <item x="3"/>
        <item t="default"/>
      </items>
    </pivotField>
    <pivotField compact="0" outline="0" showAll="0"/>
    <pivotField compact="0" outline="0" showAll="0"/>
    <pivotField dataField="1" compact="0" outline="0" showAll="0"/>
    <pivotField compact="0" outline="0" showAll="0"/>
  </pivotFields>
  <rowFields count="1">
    <field x="3"/>
  </rowFields>
  <rowItems count="6">
    <i>
      <x/>
    </i>
    <i>
      <x v="1"/>
    </i>
    <i>
      <x v="2"/>
    </i>
    <i>
      <x v="3"/>
    </i>
    <i>
      <x v="4"/>
    </i>
    <i t="grand">
      <x/>
    </i>
  </rowItems>
  <colItems count="1">
    <i/>
  </colItems>
  <dataFields count="1">
    <dataField name="Sum of Total Sales"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2CAEF9-0617-4431-8B4B-AADFEE3AE93F}"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23" firstHeaderRow="1" firstDataRow="1" firstDataCol="1" rowPageCount="1" colPageCount="1"/>
  <pivotFields count="10">
    <pivotField showAll="0"/>
    <pivotField showAll="0"/>
    <pivotField showAll="0"/>
    <pivotField showAll="0"/>
    <pivotField showAll="0"/>
    <pivotField showAll="0"/>
    <pivotField axis="axisRow" numFmtId="15"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axis="axisPage" multipleItemSelectionAllowed="1" showAll="0">
      <items count="15">
        <item h="1" sd="0" x="0"/>
        <item sd="0" x="1"/>
        <item h="1" sd="0" x="2"/>
        <item h="1" sd="0" x="3"/>
        <item h="1" sd="0" x="4"/>
        <item h="1" sd="0" x="5"/>
        <item h="1" sd="0" x="6"/>
        <item h="1" sd="0" x="7"/>
        <item h="1" sd="0" x="8"/>
        <item h="1" sd="0" x="9"/>
        <item h="1" sd="0" x="10"/>
        <item h="1" sd="0" x="11"/>
        <item h="1" sd="0" x="12"/>
        <item h="1" sd="0" x="13"/>
        <item t="default"/>
      </items>
    </pivotField>
  </pivotFields>
  <rowFields count="1">
    <field x="6"/>
  </rowFields>
  <rowItems count="20">
    <i>
      <x/>
    </i>
    <i>
      <x v="1"/>
    </i>
    <i>
      <x v="2"/>
    </i>
    <i>
      <x v="3"/>
    </i>
    <i>
      <x v="4"/>
    </i>
    <i>
      <x v="5"/>
    </i>
    <i>
      <x v="6"/>
    </i>
    <i>
      <x v="7"/>
    </i>
    <i>
      <x v="8"/>
    </i>
    <i>
      <x v="9"/>
    </i>
    <i>
      <x v="10"/>
    </i>
    <i>
      <x v="11"/>
    </i>
    <i>
      <x v="12"/>
    </i>
    <i>
      <x v="13"/>
    </i>
    <i>
      <x v="14"/>
    </i>
    <i>
      <x v="15"/>
    </i>
    <i>
      <x v="16"/>
    </i>
    <i>
      <x v="17"/>
    </i>
    <i>
      <x v="18"/>
    </i>
    <i t="grand">
      <x/>
    </i>
  </rowItems>
  <colItems count="1">
    <i/>
  </colItems>
  <pageFields count="1">
    <pageField fld="9" hier="-1"/>
  </pageFields>
  <dataFields count="1">
    <dataField name="Sum of Total Sales" fld="7" baseField="0" baseItem="0"/>
  </dataField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Date" xr10:uid="{25526E55-1015-4859-BD81-386419C7933A}" sourceName="Months (OrderDate)">
  <pivotTables>
    <pivotTable tabId="8" name="PivotTable13"/>
  </pivotTables>
  <data>
    <tabular pivotCacheId="2095923869">
      <items count="14">
        <i x="1" s="1"/>
        <i x="2"/>
        <i x="3"/>
        <i x="4" nd="1"/>
        <i x="5" nd="1"/>
        <i x="6" nd="1"/>
        <i x="7" nd="1"/>
        <i x="8" nd="1"/>
        <i x="9" nd="1"/>
        <i x="10" nd="1"/>
        <i x="11" nd="1"/>
        <i x="12" nd="1"/>
        <i x="0" nd="1"/>
        <i x="1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Date) 1" xr10:uid="{70A21499-3E7A-4500-AB09-158B8078C4A0}" cache="Slicer_Months__OrderDate" caption="Months (OrderDate)"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Date)" xr10:uid="{6C3717D3-4F57-45CD-B843-6082A2AE9B4E}" cache="Slicer_Months__OrderDate" caption="Months (OrderDate)" rowHeight="225425"/>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FFA05-9D20-4F63-AB92-6A92435FAA04}">
  <dimension ref="A1:L43"/>
  <sheetViews>
    <sheetView showGridLines="0" tabSelected="1" workbookViewId="0">
      <selection sqref="A1:L1"/>
    </sheetView>
  </sheetViews>
  <sheetFormatPr defaultRowHeight="12.75" x14ac:dyDescent="0.2"/>
  <cols>
    <col min="1" max="1" width="9.140625" style="4"/>
    <col min="2" max="2" width="23.42578125" style="4" bestFit="1" customWidth="1"/>
    <col min="3" max="3" width="14.7109375" style="4" customWidth="1"/>
    <col min="4" max="4" width="9.140625" style="4" customWidth="1"/>
    <col min="5" max="5" width="11" style="4" customWidth="1"/>
    <col min="6" max="6" width="11.140625" style="4" customWidth="1"/>
    <col min="7" max="16384" width="9.140625" style="4"/>
  </cols>
  <sheetData>
    <row r="1" spans="1:12" ht="18.75" x14ac:dyDescent="0.2">
      <c r="A1" s="57" t="s">
        <v>66</v>
      </c>
      <c r="B1" s="57"/>
      <c r="C1" s="57"/>
      <c r="D1" s="57"/>
      <c r="E1" s="57"/>
      <c r="F1" s="57"/>
      <c r="G1" s="57"/>
      <c r="H1" s="57"/>
      <c r="I1" s="57"/>
      <c r="J1" s="57"/>
      <c r="K1" s="57"/>
      <c r="L1" s="57"/>
    </row>
    <row r="2" spans="1:12" ht="13.5" thickBot="1" x14ac:dyDescent="0.25"/>
    <row r="3" spans="1:12" s="7" customFormat="1" ht="13.5" thickBot="1" x14ac:dyDescent="0.25">
      <c r="A3" s="5" t="s">
        <v>67</v>
      </c>
      <c r="B3" s="6" t="s">
        <v>68</v>
      </c>
      <c r="C3" s="60" t="s">
        <v>93</v>
      </c>
      <c r="D3" s="61"/>
      <c r="E3" s="61"/>
      <c r="F3" s="61"/>
      <c r="G3" s="61"/>
      <c r="H3" s="61"/>
      <c r="I3" s="61"/>
      <c r="J3" s="61"/>
      <c r="K3" s="61"/>
      <c r="L3" s="62"/>
    </row>
    <row r="4" spans="1:12" ht="13.5" thickBot="1" x14ac:dyDescent="0.25"/>
    <row r="5" spans="1:12" x14ac:dyDescent="0.2">
      <c r="C5" s="12" t="s">
        <v>73</v>
      </c>
      <c r="D5" s="53" t="s">
        <v>94</v>
      </c>
      <c r="E5" s="53"/>
      <c r="F5" s="53"/>
      <c r="G5" s="53"/>
      <c r="H5" s="53"/>
      <c r="I5" s="53"/>
      <c r="J5" s="53"/>
      <c r="K5" s="53"/>
      <c r="L5" s="54"/>
    </row>
    <row r="6" spans="1:12" x14ac:dyDescent="0.2">
      <c r="C6" s="13" t="s">
        <v>87</v>
      </c>
      <c r="D6" s="14" t="s">
        <v>74</v>
      </c>
      <c r="E6" s="14"/>
      <c r="F6" s="14"/>
      <c r="G6" s="14"/>
      <c r="H6" s="14"/>
      <c r="I6" s="14"/>
      <c r="J6" s="14"/>
      <c r="K6" s="14"/>
      <c r="L6" s="15"/>
    </row>
    <row r="7" spans="1:12" s="24" customFormat="1" ht="31.5" customHeight="1" thickBot="1" x14ac:dyDescent="0.25">
      <c r="C7" s="16" t="s">
        <v>88</v>
      </c>
      <c r="D7" s="55" t="s">
        <v>106</v>
      </c>
      <c r="E7" s="55"/>
      <c r="F7" s="55"/>
      <c r="G7" s="55"/>
      <c r="H7" s="55"/>
      <c r="I7" s="55"/>
      <c r="J7" s="55"/>
      <c r="K7" s="55"/>
      <c r="L7" s="56"/>
    </row>
    <row r="9" spans="1:12" x14ac:dyDescent="0.2">
      <c r="C9" s="8" t="s">
        <v>76</v>
      </c>
      <c r="D9" s="8" t="s">
        <v>77</v>
      </c>
      <c r="E9" s="8" t="s">
        <v>78</v>
      </c>
      <c r="F9" s="8" t="s">
        <v>83</v>
      </c>
    </row>
    <row r="10" spans="1:12" x14ac:dyDescent="0.2">
      <c r="C10" s="17" t="s">
        <v>79</v>
      </c>
      <c r="D10" s="17">
        <v>10</v>
      </c>
      <c r="E10" s="17">
        <v>30000</v>
      </c>
      <c r="F10" s="17">
        <v>300000</v>
      </c>
    </row>
    <row r="11" spans="1:12" x14ac:dyDescent="0.2">
      <c r="C11" s="17" t="s">
        <v>80</v>
      </c>
      <c r="D11" s="17">
        <v>20</v>
      </c>
      <c r="E11" s="17">
        <v>20000</v>
      </c>
      <c r="F11" s="17">
        <v>400000</v>
      </c>
    </row>
    <row r="12" spans="1:12" x14ac:dyDescent="0.2">
      <c r="C12" s="17" t="s">
        <v>81</v>
      </c>
      <c r="D12" s="17">
        <v>15</v>
      </c>
      <c r="E12" s="17">
        <v>25000</v>
      </c>
      <c r="F12" s="17">
        <v>375000</v>
      </c>
    </row>
    <row r="13" spans="1:12" x14ac:dyDescent="0.2">
      <c r="C13" s="17" t="s">
        <v>82</v>
      </c>
      <c r="D13" s="17">
        <v>25</v>
      </c>
      <c r="E13" s="17">
        <v>50000</v>
      </c>
      <c r="F13" s="17">
        <v>1250000</v>
      </c>
    </row>
    <row r="16" spans="1:12" ht="13.5" thickBot="1" x14ac:dyDescent="0.25"/>
    <row r="17" spans="1:12" s="7" customFormat="1" ht="13.5" thickBot="1" x14ac:dyDescent="0.25">
      <c r="A17" s="5" t="s">
        <v>71</v>
      </c>
      <c r="B17" s="9" t="s">
        <v>69</v>
      </c>
      <c r="C17" s="63" t="s">
        <v>95</v>
      </c>
      <c r="D17" s="61"/>
      <c r="E17" s="61"/>
      <c r="F17" s="61"/>
      <c r="G17" s="61"/>
      <c r="H17" s="61"/>
      <c r="I17" s="61"/>
      <c r="J17" s="61"/>
      <c r="K17" s="61"/>
      <c r="L17" s="62"/>
    </row>
    <row r="18" spans="1:12" ht="13.5" thickBot="1" x14ac:dyDescent="0.25"/>
    <row r="19" spans="1:12" x14ac:dyDescent="0.2">
      <c r="C19" s="12" t="s">
        <v>73</v>
      </c>
      <c r="D19" s="53" t="s">
        <v>84</v>
      </c>
      <c r="E19" s="53"/>
      <c r="F19" s="53"/>
      <c r="G19" s="53"/>
      <c r="H19" s="53"/>
      <c r="I19" s="53"/>
      <c r="J19" s="53"/>
      <c r="K19" s="53"/>
      <c r="L19" s="54"/>
    </row>
    <row r="20" spans="1:12" x14ac:dyDescent="0.2">
      <c r="C20" s="13" t="s">
        <v>87</v>
      </c>
      <c r="D20" s="14" t="s">
        <v>86</v>
      </c>
      <c r="E20" s="14"/>
      <c r="F20" s="14"/>
      <c r="G20" s="14"/>
      <c r="H20" s="14"/>
      <c r="I20" s="14"/>
      <c r="J20" s="14"/>
      <c r="K20" s="14"/>
      <c r="L20" s="15"/>
    </row>
    <row r="21" spans="1:12" ht="27" customHeight="1" thickBot="1" x14ac:dyDescent="0.25">
      <c r="C21" s="16" t="s">
        <v>88</v>
      </c>
      <c r="D21" s="64" t="s">
        <v>90</v>
      </c>
      <c r="E21" s="64"/>
      <c r="F21" s="64"/>
      <c r="G21" s="64"/>
      <c r="H21" s="64"/>
      <c r="I21" s="64"/>
      <c r="J21" s="64"/>
      <c r="K21" s="64"/>
      <c r="L21" s="65"/>
    </row>
    <row r="23" spans="1:12" x14ac:dyDescent="0.2">
      <c r="C23" s="10" t="s">
        <v>76</v>
      </c>
      <c r="D23" s="10" t="s">
        <v>77</v>
      </c>
      <c r="E23" s="10" t="s">
        <v>78</v>
      </c>
      <c r="F23" s="10" t="s">
        <v>83</v>
      </c>
      <c r="G23" s="10" t="s">
        <v>91</v>
      </c>
    </row>
    <row r="24" spans="1:12" x14ac:dyDescent="0.2">
      <c r="C24" s="11" t="s">
        <v>79</v>
      </c>
      <c r="D24" s="11">
        <v>10</v>
      </c>
      <c r="E24" s="11">
        <v>30000</v>
      </c>
      <c r="F24" s="11">
        <v>300000</v>
      </c>
      <c r="G24" s="18">
        <f>F24/$F$28</f>
        <v>0.12903225806451613</v>
      </c>
    </row>
    <row r="25" spans="1:12" x14ac:dyDescent="0.2">
      <c r="C25" s="11" t="s">
        <v>80</v>
      </c>
      <c r="D25" s="11">
        <v>20</v>
      </c>
      <c r="E25" s="11">
        <v>20000</v>
      </c>
      <c r="F25" s="11">
        <v>400000</v>
      </c>
      <c r="G25" s="18">
        <f t="shared" ref="G25:G28" si="0">F25/$F$28</f>
        <v>0.17204301075268819</v>
      </c>
    </row>
    <row r="26" spans="1:12" x14ac:dyDescent="0.2">
      <c r="C26" s="11" t="s">
        <v>81</v>
      </c>
      <c r="D26" s="11">
        <v>15</v>
      </c>
      <c r="E26" s="11">
        <v>25000</v>
      </c>
      <c r="F26" s="11">
        <v>375000</v>
      </c>
      <c r="G26" s="18">
        <f t="shared" si="0"/>
        <v>0.16129032258064516</v>
      </c>
    </row>
    <row r="27" spans="1:12" x14ac:dyDescent="0.2">
      <c r="C27" s="11" t="s">
        <v>82</v>
      </c>
      <c r="D27" s="11">
        <v>25</v>
      </c>
      <c r="E27" s="11">
        <v>50000</v>
      </c>
      <c r="F27" s="11">
        <v>1250000</v>
      </c>
      <c r="G27" s="18">
        <f t="shared" si="0"/>
        <v>0.5376344086021505</v>
      </c>
    </row>
    <row r="28" spans="1:12" x14ac:dyDescent="0.2">
      <c r="C28" s="66" t="s">
        <v>89</v>
      </c>
      <c r="D28" s="67"/>
      <c r="E28" s="68"/>
      <c r="F28" s="10">
        <f>SUM(F24:F27)</f>
        <v>2325000</v>
      </c>
      <c r="G28" s="19">
        <f t="shared" si="0"/>
        <v>1</v>
      </c>
    </row>
    <row r="31" spans="1:12" ht="13.5" thickBot="1" x14ac:dyDescent="0.25"/>
    <row r="32" spans="1:12" s="7" customFormat="1" ht="13.5" thickBot="1" x14ac:dyDescent="0.25">
      <c r="A32" s="5" t="s">
        <v>72</v>
      </c>
      <c r="B32" s="6" t="s">
        <v>70</v>
      </c>
      <c r="C32" s="58" t="s">
        <v>92</v>
      </c>
      <c r="D32" s="58"/>
      <c r="E32" s="58"/>
      <c r="F32" s="58"/>
      <c r="G32" s="58"/>
      <c r="H32" s="58"/>
      <c r="I32" s="59"/>
    </row>
    <row r="33" spans="3:12" ht="13.5" thickBot="1" x14ac:dyDescent="0.25"/>
    <row r="34" spans="3:12" x14ac:dyDescent="0.2">
      <c r="C34" s="12" t="s">
        <v>73</v>
      </c>
      <c r="D34" s="53" t="s">
        <v>96</v>
      </c>
      <c r="E34" s="53"/>
      <c r="F34" s="53"/>
      <c r="G34" s="53"/>
      <c r="H34" s="53"/>
      <c r="I34" s="53"/>
      <c r="J34" s="53"/>
      <c r="K34" s="53"/>
      <c r="L34" s="54"/>
    </row>
    <row r="35" spans="3:12" x14ac:dyDescent="0.2">
      <c r="C35" s="13" t="s">
        <v>87</v>
      </c>
      <c r="D35" s="21" t="s">
        <v>99</v>
      </c>
      <c r="E35" s="22" t="s">
        <v>97</v>
      </c>
      <c r="F35" s="20" t="s">
        <v>98</v>
      </c>
      <c r="G35" s="14"/>
      <c r="H35" s="14"/>
      <c r="I35" s="14"/>
      <c r="J35" s="14"/>
      <c r="K35" s="14"/>
      <c r="L35" s="15"/>
    </row>
    <row r="36" spans="3:12" s="23" customFormat="1" ht="55.5" customHeight="1" thickBot="1" x14ac:dyDescent="0.25">
      <c r="C36" s="16" t="s">
        <v>88</v>
      </c>
      <c r="D36" s="55" t="s">
        <v>105</v>
      </c>
      <c r="E36" s="55"/>
      <c r="F36" s="55"/>
      <c r="G36" s="55"/>
      <c r="H36" s="55"/>
      <c r="I36" s="55"/>
      <c r="J36" s="55"/>
      <c r="K36" s="55"/>
      <c r="L36" s="56"/>
    </row>
    <row r="38" spans="3:12" x14ac:dyDescent="0.2">
      <c r="C38" s="10" t="s">
        <v>76</v>
      </c>
      <c r="D38" s="10" t="s">
        <v>100</v>
      </c>
      <c r="E38" s="10" t="s">
        <v>101</v>
      </c>
      <c r="F38" s="10" t="s">
        <v>102</v>
      </c>
      <c r="G38" s="10" t="s">
        <v>103</v>
      </c>
      <c r="H38" s="10" t="s">
        <v>104</v>
      </c>
    </row>
    <row r="39" spans="3:12" x14ac:dyDescent="0.2">
      <c r="C39" s="11" t="s">
        <v>79</v>
      </c>
      <c r="D39" s="11">
        <v>25000</v>
      </c>
      <c r="E39" s="11">
        <v>30000</v>
      </c>
      <c r="F39" s="11">
        <f>SUM(D39:E39)</f>
        <v>55000</v>
      </c>
      <c r="G39" s="18">
        <f>D39/$F39</f>
        <v>0.45454545454545453</v>
      </c>
      <c r="H39" s="18">
        <f t="shared" ref="H39:H43" si="1">E39/$F39</f>
        <v>0.54545454545454541</v>
      </c>
    </row>
    <row r="40" spans="3:12" x14ac:dyDescent="0.2">
      <c r="C40" s="11" t="s">
        <v>80</v>
      </c>
      <c r="D40" s="11">
        <v>35000</v>
      </c>
      <c r="E40" s="11">
        <v>20000</v>
      </c>
      <c r="F40" s="11">
        <f t="shared" ref="F40:F43" si="2">SUM(D40:E40)</f>
        <v>55000</v>
      </c>
      <c r="G40" s="18">
        <f t="shared" ref="G40:G43" si="3">D40/$F40</f>
        <v>0.63636363636363635</v>
      </c>
      <c r="H40" s="18">
        <f t="shared" si="1"/>
        <v>0.36363636363636365</v>
      </c>
    </row>
    <row r="41" spans="3:12" x14ac:dyDescent="0.2">
      <c r="C41" s="11" t="s">
        <v>81</v>
      </c>
      <c r="D41" s="11">
        <v>10000</v>
      </c>
      <c r="E41" s="11">
        <v>25000</v>
      </c>
      <c r="F41" s="11">
        <f t="shared" si="2"/>
        <v>35000</v>
      </c>
      <c r="G41" s="18">
        <f t="shared" si="3"/>
        <v>0.2857142857142857</v>
      </c>
      <c r="H41" s="18">
        <f t="shared" si="1"/>
        <v>0.7142857142857143</v>
      </c>
    </row>
    <row r="42" spans="3:12" x14ac:dyDescent="0.2">
      <c r="C42" s="11" t="s">
        <v>82</v>
      </c>
      <c r="D42" s="11">
        <v>40000</v>
      </c>
      <c r="E42" s="11">
        <v>50000</v>
      </c>
      <c r="F42" s="11">
        <f t="shared" si="2"/>
        <v>90000</v>
      </c>
      <c r="G42" s="18">
        <f t="shared" si="3"/>
        <v>0.44444444444444442</v>
      </c>
      <c r="H42" s="18">
        <f t="shared" si="1"/>
        <v>0.55555555555555558</v>
      </c>
    </row>
    <row r="43" spans="3:12" x14ac:dyDescent="0.2">
      <c r="C43" s="10" t="s">
        <v>89</v>
      </c>
      <c r="D43" s="10">
        <f>SUM(D39:D42)</f>
        <v>110000</v>
      </c>
      <c r="E43" s="10">
        <f>SUM(E39:E42)</f>
        <v>125000</v>
      </c>
      <c r="F43" s="10">
        <f t="shared" si="2"/>
        <v>235000</v>
      </c>
      <c r="G43" s="19">
        <f t="shared" si="3"/>
        <v>0.46808510638297873</v>
      </c>
      <c r="H43" s="19">
        <f t="shared" si="1"/>
        <v>0.53191489361702127</v>
      </c>
    </row>
  </sheetData>
  <mergeCells count="11">
    <mergeCell ref="D34:L34"/>
    <mergeCell ref="D36:L36"/>
    <mergeCell ref="D5:L5"/>
    <mergeCell ref="D7:L7"/>
    <mergeCell ref="A1:L1"/>
    <mergeCell ref="C32:I32"/>
    <mergeCell ref="C3:L3"/>
    <mergeCell ref="C17:L17"/>
    <mergeCell ref="D19:L19"/>
    <mergeCell ref="D21:L21"/>
    <mergeCell ref="C28:E28"/>
  </mergeCells>
  <conditionalFormatting sqref="G24:G27">
    <cfRule type="colorScale" priority="4">
      <colorScale>
        <cfvo type="min"/>
        <cfvo type="percentile" val="50"/>
        <cfvo type="max"/>
        <color rgb="FFF8696B"/>
        <color rgb="FFFFEB84"/>
        <color rgb="FF63BE7B"/>
      </colorScale>
    </cfRule>
  </conditionalFormatting>
  <conditionalFormatting sqref="G39:G42">
    <cfRule type="colorScale" priority="2">
      <colorScale>
        <cfvo type="min"/>
        <cfvo type="percentile" val="50"/>
        <cfvo type="max"/>
        <color rgb="FFF8696B"/>
        <color rgb="FFFFEB84"/>
        <color rgb="FF63BE7B"/>
      </colorScale>
    </cfRule>
  </conditionalFormatting>
  <conditionalFormatting sqref="H39:H42">
    <cfRule type="colorScale" priority="1">
      <colorScale>
        <cfvo type="min"/>
        <cfvo type="percentile" val="50"/>
        <cfvo type="max"/>
        <color rgb="FFF8696B"/>
        <color rgb="FFFCFCFF"/>
        <color rgb="FF5A8AC6"/>
      </colorScale>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B3E07-ADB4-4112-95CA-DC023EE8A51A}">
  <dimension ref="A1:L11"/>
  <sheetViews>
    <sheetView showGridLines="0" workbookViewId="0">
      <selection activeCell="J15" sqref="J15"/>
    </sheetView>
  </sheetViews>
  <sheetFormatPr defaultRowHeight="12.75" x14ac:dyDescent="0.2"/>
  <cols>
    <col min="2" max="3" width="15.7109375" customWidth="1"/>
  </cols>
  <sheetData>
    <row r="1" spans="1:12" ht="18.75" x14ac:dyDescent="0.2">
      <c r="A1" s="57" t="s">
        <v>107</v>
      </c>
      <c r="B1" s="57"/>
      <c r="C1" s="57"/>
      <c r="D1" s="57"/>
      <c r="E1" s="57"/>
      <c r="F1" s="57"/>
      <c r="G1" s="57"/>
      <c r="H1" s="57"/>
      <c r="I1" s="57"/>
      <c r="J1" s="57"/>
      <c r="K1" s="57"/>
      <c r="L1" s="57"/>
    </row>
    <row r="4" spans="1:12" x14ac:dyDescent="0.2">
      <c r="B4" s="25" t="s">
        <v>108</v>
      </c>
      <c r="C4" s="25" t="s">
        <v>109</v>
      </c>
    </row>
    <row r="5" spans="1:12" x14ac:dyDescent="0.2">
      <c r="B5" s="26" t="s">
        <v>110</v>
      </c>
      <c r="C5" s="26">
        <v>500000</v>
      </c>
    </row>
    <row r="6" spans="1:12" x14ac:dyDescent="0.2">
      <c r="B6" s="26" t="s">
        <v>111</v>
      </c>
      <c r="C6" s="26">
        <v>10500</v>
      </c>
    </row>
    <row r="7" spans="1:12" x14ac:dyDescent="0.2">
      <c r="B7" s="26" t="s">
        <v>112</v>
      </c>
      <c r="C7" s="26">
        <v>25000</v>
      </c>
    </row>
    <row r="10" spans="1:12" ht="15.75" x14ac:dyDescent="0.2">
      <c r="B10" s="69" t="s">
        <v>113</v>
      </c>
      <c r="C10" s="69"/>
      <c r="D10" s="69"/>
    </row>
    <row r="11" spans="1:12" ht="19.5" x14ac:dyDescent="0.3">
      <c r="B11" s="27" t="s">
        <v>114</v>
      </c>
      <c r="C11" s="70" cm="1">
        <f t="array" ref="C11">SUM(SUMIF($B$5:$B$7,{"Car","Bicycle"},$C$5:$C$7))</f>
        <v>510500</v>
      </c>
      <c r="D11" s="70"/>
    </row>
  </sheetData>
  <mergeCells count="3">
    <mergeCell ref="A1:L1"/>
    <mergeCell ref="B10:D10"/>
    <mergeCell ref="C11:D1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DCD90-97A7-41C8-A07E-1C4F95A30490}">
  <dimension ref="A1:Q11"/>
  <sheetViews>
    <sheetView showGridLines="0" workbookViewId="0">
      <selection sqref="A1:L1"/>
    </sheetView>
  </sheetViews>
  <sheetFormatPr defaultRowHeight="12.75" x14ac:dyDescent="0.2"/>
  <cols>
    <col min="4" max="4" width="9.5703125" bestFit="1" customWidth="1"/>
  </cols>
  <sheetData>
    <row r="1" spans="1:17" ht="37.5" customHeight="1" x14ac:dyDescent="0.25">
      <c r="A1" s="71" t="s">
        <v>115</v>
      </c>
      <c r="B1" s="71"/>
      <c r="C1" s="71"/>
      <c r="D1" s="71"/>
      <c r="E1" s="71"/>
      <c r="F1" s="71"/>
      <c r="G1" s="71"/>
      <c r="H1" s="71"/>
      <c r="I1" s="71"/>
      <c r="J1" s="71"/>
      <c r="K1" s="71"/>
      <c r="L1" s="71"/>
      <c r="O1" s="28"/>
      <c r="P1" s="28"/>
      <c r="Q1" s="28"/>
    </row>
    <row r="4" spans="1:17" x14ac:dyDescent="0.2">
      <c r="C4" s="29" t="s">
        <v>116</v>
      </c>
      <c r="D4" s="29" t="s">
        <v>109</v>
      </c>
      <c r="E4" s="29" t="s">
        <v>75</v>
      </c>
    </row>
    <row r="5" spans="1:17" x14ac:dyDescent="0.2">
      <c r="C5" s="30" t="s">
        <v>117</v>
      </c>
      <c r="D5" s="30">
        <v>90</v>
      </c>
      <c r="E5" s="30">
        <v>1000</v>
      </c>
    </row>
    <row r="6" spans="1:17" x14ac:dyDescent="0.2">
      <c r="C6" s="30" t="s">
        <v>118</v>
      </c>
      <c r="D6" s="30">
        <v>150</v>
      </c>
      <c r="E6" s="30">
        <v>1200</v>
      </c>
    </row>
    <row r="7" spans="1:17" x14ac:dyDescent="0.2">
      <c r="C7" s="30" t="s">
        <v>119</v>
      </c>
      <c r="D7" s="30">
        <v>250</v>
      </c>
      <c r="E7" s="30">
        <v>1500</v>
      </c>
    </row>
    <row r="11" spans="1:17" ht="26.25" x14ac:dyDescent="0.4">
      <c r="C11" s="31" t="s">
        <v>114</v>
      </c>
      <c r="D11" s="31">
        <f>AVERAGEIFS(E5:E7,D5:D7,"&gt;100",D5:D7,"&lt;300")</f>
        <v>1350</v>
      </c>
    </row>
  </sheetData>
  <mergeCells count="1">
    <mergeCell ref="A1:L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53"/>
  <sheetViews>
    <sheetView showGridLines="0" topLeftCell="E1" workbookViewId="0">
      <selection activeCell="K13" sqref="K13"/>
    </sheetView>
  </sheetViews>
  <sheetFormatPr defaultColWidth="12.5703125" defaultRowHeight="15.75" customHeight="1" x14ac:dyDescent="0.2"/>
  <cols>
    <col min="2" max="2" width="15" bestFit="1" customWidth="1"/>
    <col min="7" max="7" width="12.5703125" style="51"/>
  </cols>
  <sheetData>
    <row r="1" spans="1:18" ht="15.75" customHeight="1" thickBot="1" x14ac:dyDescent="0.3">
      <c r="A1" s="33" t="s">
        <v>0</v>
      </c>
      <c r="B1" s="33" t="s">
        <v>1</v>
      </c>
      <c r="C1" s="33" t="s">
        <v>2</v>
      </c>
      <c r="D1" s="33" t="s">
        <v>3</v>
      </c>
      <c r="E1" s="33" t="s">
        <v>4</v>
      </c>
      <c r="F1" s="33" t="s">
        <v>5</v>
      </c>
      <c r="G1" s="48" t="s">
        <v>6</v>
      </c>
      <c r="H1" s="37" t="s">
        <v>85</v>
      </c>
    </row>
    <row r="2" spans="1:18" ht="15.75" customHeight="1" x14ac:dyDescent="0.25">
      <c r="A2" s="32">
        <v>1001</v>
      </c>
      <c r="B2" s="32" t="s">
        <v>7</v>
      </c>
      <c r="C2" s="32" t="s">
        <v>8</v>
      </c>
      <c r="D2" s="32" t="s">
        <v>9</v>
      </c>
      <c r="E2" s="32">
        <v>10</v>
      </c>
      <c r="F2" s="32">
        <v>50</v>
      </c>
      <c r="G2" s="49">
        <v>45296</v>
      </c>
      <c r="H2" s="38">
        <f>PRODUCT(E2,F2)</f>
        <v>500</v>
      </c>
      <c r="I2" s="2"/>
      <c r="K2" s="72" t="s">
        <v>120</v>
      </c>
      <c r="L2" s="73"/>
      <c r="M2" s="73"/>
      <c r="N2" s="73"/>
      <c r="O2" s="73"/>
      <c r="P2" s="73"/>
      <c r="Q2" s="73"/>
      <c r="R2" s="74"/>
    </row>
    <row r="3" spans="1:18" ht="15.75" customHeight="1" x14ac:dyDescent="0.25">
      <c r="A3" s="32">
        <v>1002</v>
      </c>
      <c r="B3" s="32" t="s">
        <v>10</v>
      </c>
      <c r="C3" s="32" t="s">
        <v>11</v>
      </c>
      <c r="D3" s="32" t="s">
        <v>12</v>
      </c>
      <c r="E3" s="32">
        <v>20</v>
      </c>
      <c r="F3" s="32">
        <v>10</v>
      </c>
      <c r="G3" s="49">
        <v>45297</v>
      </c>
      <c r="H3" s="38">
        <f t="shared" ref="H3:H51" si="0">PRODUCT(E3,F3)</f>
        <v>200</v>
      </c>
      <c r="I3" s="2"/>
      <c r="K3" s="41" t="s">
        <v>121</v>
      </c>
      <c r="L3" s="42">
        <f>COUNTA(B2:B51)</f>
        <v>50</v>
      </c>
      <c r="M3" s="42"/>
      <c r="N3" s="42"/>
      <c r="O3" s="42"/>
      <c r="P3" s="42"/>
      <c r="Q3" s="42"/>
      <c r="R3" s="43"/>
    </row>
    <row r="4" spans="1:18" ht="15.75" customHeight="1" thickBot="1" x14ac:dyDescent="0.3">
      <c r="A4" s="32">
        <v>1003</v>
      </c>
      <c r="B4" s="32" t="s">
        <v>13</v>
      </c>
      <c r="C4" s="32" t="s">
        <v>14</v>
      </c>
      <c r="D4" s="32" t="s">
        <v>15</v>
      </c>
      <c r="E4" s="32">
        <v>15</v>
      </c>
      <c r="F4" s="32">
        <v>25</v>
      </c>
      <c r="G4" s="49">
        <v>45298</v>
      </c>
      <c r="H4" s="38">
        <f t="shared" si="0"/>
        <v>375</v>
      </c>
      <c r="I4" s="2"/>
      <c r="K4" s="44" t="s">
        <v>122</v>
      </c>
      <c r="L4" s="45" t="s">
        <v>123</v>
      </c>
      <c r="M4" s="46"/>
      <c r="N4" s="46"/>
      <c r="O4" s="46"/>
      <c r="P4" s="46"/>
      <c r="Q4" s="46"/>
      <c r="R4" s="47"/>
    </row>
    <row r="5" spans="1:18" ht="15.75" customHeight="1" x14ac:dyDescent="0.25">
      <c r="A5" s="32">
        <v>1004</v>
      </c>
      <c r="B5" s="32" t="s">
        <v>16</v>
      </c>
      <c r="C5" s="32" t="s">
        <v>17</v>
      </c>
      <c r="D5" s="32" t="s">
        <v>9</v>
      </c>
      <c r="E5" s="32">
        <v>5</v>
      </c>
      <c r="F5" s="32">
        <v>50</v>
      </c>
      <c r="G5" s="49">
        <v>45299</v>
      </c>
      <c r="H5" s="38">
        <f t="shared" si="0"/>
        <v>250</v>
      </c>
      <c r="I5" s="2"/>
      <c r="K5" s="40"/>
      <c r="L5" s="40"/>
      <c r="M5" s="40"/>
      <c r="N5" s="40"/>
      <c r="O5" s="40"/>
      <c r="P5" s="40"/>
      <c r="Q5" s="40"/>
      <c r="R5" s="40"/>
    </row>
    <row r="6" spans="1:18" ht="15.75" customHeight="1" thickBot="1" x14ac:dyDescent="0.3">
      <c r="A6" s="32">
        <v>1005</v>
      </c>
      <c r="B6" s="32" t="s">
        <v>18</v>
      </c>
      <c r="C6" s="32" t="s">
        <v>8</v>
      </c>
      <c r="D6" s="32" t="s">
        <v>19</v>
      </c>
      <c r="E6" s="32">
        <v>30</v>
      </c>
      <c r="F6" s="32">
        <v>5</v>
      </c>
      <c r="G6" s="49">
        <v>45301</v>
      </c>
      <c r="H6" s="38">
        <f t="shared" si="0"/>
        <v>150</v>
      </c>
      <c r="I6" s="2"/>
      <c r="K6" s="40"/>
      <c r="L6" s="40"/>
      <c r="M6" s="40"/>
      <c r="N6" s="40"/>
      <c r="O6" s="40"/>
      <c r="P6" s="40"/>
      <c r="Q6" s="40"/>
      <c r="R6" s="40"/>
    </row>
    <row r="7" spans="1:18" ht="15.75" customHeight="1" x14ac:dyDescent="0.25">
      <c r="A7" s="32">
        <v>1006</v>
      </c>
      <c r="B7" s="32" t="s">
        <v>20</v>
      </c>
      <c r="C7" s="32" t="s">
        <v>11</v>
      </c>
      <c r="D7" s="32" t="s">
        <v>9</v>
      </c>
      <c r="E7" s="32">
        <v>12</v>
      </c>
      <c r="F7" s="32">
        <v>50</v>
      </c>
      <c r="G7" s="49">
        <v>45302</v>
      </c>
      <c r="H7" s="38">
        <f t="shared" si="0"/>
        <v>600</v>
      </c>
      <c r="I7" s="2"/>
      <c r="K7" s="72" t="s">
        <v>124</v>
      </c>
      <c r="L7" s="73"/>
      <c r="M7" s="73"/>
      <c r="N7" s="73"/>
      <c r="O7" s="73"/>
      <c r="P7" s="73"/>
      <c r="Q7" s="73"/>
      <c r="R7" s="74"/>
    </row>
    <row r="8" spans="1:18" ht="15.75" customHeight="1" x14ac:dyDescent="0.25">
      <c r="A8" s="32">
        <v>1007</v>
      </c>
      <c r="B8" s="32" t="s">
        <v>21</v>
      </c>
      <c r="C8" s="32" t="s">
        <v>14</v>
      </c>
      <c r="D8" s="32" t="s">
        <v>22</v>
      </c>
      <c r="E8" s="32">
        <v>25</v>
      </c>
      <c r="F8" s="32">
        <v>8</v>
      </c>
      <c r="G8" s="49">
        <v>45304</v>
      </c>
      <c r="H8" s="38">
        <f t="shared" si="0"/>
        <v>200</v>
      </c>
      <c r="I8" s="2"/>
      <c r="K8" s="41" t="s">
        <v>121</v>
      </c>
      <c r="L8" s="42" t="s">
        <v>125</v>
      </c>
      <c r="M8" s="42"/>
      <c r="N8" s="42"/>
      <c r="O8" s="42"/>
      <c r="P8" s="42"/>
      <c r="Q8" s="42"/>
      <c r="R8" s="43"/>
    </row>
    <row r="9" spans="1:18" ht="15.75" customHeight="1" thickBot="1" x14ac:dyDescent="0.3">
      <c r="A9" s="32">
        <v>1008</v>
      </c>
      <c r="B9" s="32" t="s">
        <v>23</v>
      </c>
      <c r="C9" s="32" t="s">
        <v>17</v>
      </c>
      <c r="D9" s="32" t="s">
        <v>12</v>
      </c>
      <c r="E9" s="32">
        <v>18</v>
      </c>
      <c r="F9" s="32">
        <v>10</v>
      </c>
      <c r="G9" s="49">
        <v>45306</v>
      </c>
      <c r="H9" s="38">
        <f t="shared" si="0"/>
        <v>180</v>
      </c>
      <c r="I9" s="2"/>
      <c r="K9" s="44" t="s">
        <v>122</v>
      </c>
      <c r="L9" s="45" t="s">
        <v>126</v>
      </c>
      <c r="M9" s="46"/>
      <c r="N9" s="46" t="s">
        <v>97</v>
      </c>
      <c r="O9" s="46" t="s">
        <v>127</v>
      </c>
      <c r="P9" s="46"/>
      <c r="Q9" s="46"/>
      <c r="R9" s="47"/>
    </row>
    <row r="10" spans="1:18" ht="15.75" customHeight="1" x14ac:dyDescent="0.25">
      <c r="A10" s="32">
        <v>1009</v>
      </c>
      <c r="B10" s="32" t="s">
        <v>24</v>
      </c>
      <c r="C10" s="32" t="s">
        <v>8</v>
      </c>
      <c r="D10" s="32" t="s">
        <v>15</v>
      </c>
      <c r="E10" s="32">
        <v>22</v>
      </c>
      <c r="F10" s="32">
        <v>25</v>
      </c>
      <c r="G10" s="49">
        <v>45308</v>
      </c>
      <c r="H10" s="38">
        <f t="shared" si="0"/>
        <v>550</v>
      </c>
      <c r="I10" s="2"/>
      <c r="K10" s="40"/>
      <c r="L10" s="40"/>
      <c r="M10" s="40"/>
      <c r="N10" s="40"/>
      <c r="O10" s="40"/>
      <c r="P10" s="40"/>
      <c r="Q10" s="40"/>
      <c r="R10" s="40"/>
    </row>
    <row r="11" spans="1:18" ht="15.75" customHeight="1" thickBot="1" x14ac:dyDescent="0.3">
      <c r="A11" s="32">
        <v>1010</v>
      </c>
      <c r="B11" s="32" t="s">
        <v>25</v>
      </c>
      <c r="C11" s="32" t="s">
        <v>11</v>
      </c>
      <c r="D11" s="32" t="s">
        <v>9</v>
      </c>
      <c r="E11" s="32">
        <v>8</v>
      </c>
      <c r="F11" s="32">
        <v>50</v>
      </c>
      <c r="G11" s="49">
        <v>45309</v>
      </c>
      <c r="H11" s="38">
        <f t="shared" si="0"/>
        <v>400</v>
      </c>
      <c r="I11" s="2"/>
      <c r="K11" s="40"/>
      <c r="L11" s="40"/>
      <c r="M11" s="40"/>
      <c r="N11" s="40"/>
      <c r="O11" s="40"/>
      <c r="P11" s="40"/>
      <c r="Q11" s="40"/>
      <c r="R11" s="40"/>
    </row>
    <row r="12" spans="1:18" ht="15.75" customHeight="1" x14ac:dyDescent="0.25">
      <c r="A12" s="32">
        <v>1011</v>
      </c>
      <c r="B12" s="32" t="s">
        <v>26</v>
      </c>
      <c r="C12" s="32" t="s">
        <v>14</v>
      </c>
      <c r="D12" s="32" t="s">
        <v>19</v>
      </c>
      <c r="E12" s="32">
        <v>40</v>
      </c>
      <c r="F12" s="32">
        <v>5</v>
      </c>
      <c r="G12" s="49">
        <v>45310</v>
      </c>
      <c r="H12" s="38">
        <f t="shared" si="0"/>
        <v>200</v>
      </c>
      <c r="I12" s="2"/>
      <c r="K12" s="72" t="s">
        <v>128</v>
      </c>
      <c r="L12" s="73"/>
      <c r="M12" s="73"/>
      <c r="N12" s="73"/>
      <c r="O12" s="73"/>
      <c r="P12" s="73"/>
      <c r="Q12" s="73"/>
      <c r="R12" s="74"/>
    </row>
    <row r="13" spans="1:18" ht="15.75" customHeight="1" x14ac:dyDescent="0.25">
      <c r="A13" s="32">
        <v>1012</v>
      </c>
      <c r="B13" s="32" t="s">
        <v>27</v>
      </c>
      <c r="C13" s="32" t="s">
        <v>17</v>
      </c>
      <c r="D13" s="32" t="s">
        <v>22</v>
      </c>
      <c r="E13" s="32">
        <v>35</v>
      </c>
      <c r="F13" s="32">
        <v>8</v>
      </c>
      <c r="G13" s="49">
        <v>45311</v>
      </c>
      <c r="H13" s="38">
        <f t="shared" si="0"/>
        <v>280</v>
      </c>
      <c r="I13" s="2"/>
      <c r="K13" s="41" t="s">
        <v>121</v>
      </c>
      <c r="L13" s="42">
        <f>SUMIFS($H$1:$H$51,$D$1:$D$51,"Notebook",$C$1:$C$51,"North")</f>
        <v>2900</v>
      </c>
      <c r="M13" s="42"/>
      <c r="N13" s="42"/>
      <c r="O13" s="42"/>
      <c r="P13" s="42"/>
      <c r="Q13" s="42"/>
      <c r="R13" s="43"/>
    </row>
    <row r="14" spans="1:18" ht="15.75" customHeight="1" thickBot="1" x14ac:dyDescent="0.3">
      <c r="A14" s="32">
        <v>1013</v>
      </c>
      <c r="B14" s="32" t="s">
        <v>28</v>
      </c>
      <c r="C14" s="32" t="s">
        <v>8</v>
      </c>
      <c r="D14" s="32" t="s">
        <v>9</v>
      </c>
      <c r="E14" s="32">
        <v>14</v>
      </c>
      <c r="F14" s="32">
        <v>50</v>
      </c>
      <c r="G14" s="49">
        <v>45313</v>
      </c>
      <c r="H14" s="38">
        <f t="shared" si="0"/>
        <v>700</v>
      </c>
      <c r="I14" s="2"/>
      <c r="K14" s="44" t="s">
        <v>122</v>
      </c>
      <c r="L14" s="45" t="s">
        <v>136</v>
      </c>
      <c r="M14" s="46"/>
      <c r="N14" s="46"/>
      <c r="O14" s="46"/>
      <c r="P14" s="46"/>
      <c r="Q14" s="46"/>
      <c r="R14" s="47"/>
    </row>
    <row r="15" spans="1:18" ht="15.75" customHeight="1" x14ac:dyDescent="0.25">
      <c r="A15" s="32">
        <v>1014</v>
      </c>
      <c r="B15" s="32" t="s">
        <v>29</v>
      </c>
      <c r="C15" s="32" t="s">
        <v>11</v>
      </c>
      <c r="D15" s="32" t="s">
        <v>12</v>
      </c>
      <c r="E15" s="32">
        <v>28</v>
      </c>
      <c r="F15" s="32">
        <v>10</v>
      </c>
      <c r="G15" s="49">
        <v>45314</v>
      </c>
      <c r="H15" s="38">
        <f t="shared" si="0"/>
        <v>280</v>
      </c>
      <c r="I15" s="2"/>
      <c r="K15" s="40"/>
      <c r="L15" s="40"/>
      <c r="M15" s="40"/>
      <c r="N15" s="40"/>
      <c r="O15" s="40"/>
      <c r="P15" s="40"/>
      <c r="Q15" s="40"/>
      <c r="R15" s="40"/>
    </row>
    <row r="16" spans="1:18" ht="15.75" customHeight="1" x14ac:dyDescent="0.25">
      <c r="A16" s="32">
        <v>1015</v>
      </c>
      <c r="B16" s="32" t="s">
        <v>30</v>
      </c>
      <c r="C16" s="32" t="s">
        <v>14</v>
      </c>
      <c r="D16" s="32" t="s">
        <v>15</v>
      </c>
      <c r="E16" s="32">
        <v>12</v>
      </c>
      <c r="F16" s="32">
        <v>25</v>
      </c>
      <c r="G16" s="49">
        <v>45315</v>
      </c>
      <c r="H16" s="38">
        <f t="shared" si="0"/>
        <v>300</v>
      </c>
      <c r="I16" s="2"/>
      <c r="K16" s="40"/>
      <c r="L16" s="40"/>
      <c r="M16" s="40"/>
      <c r="N16" s="40"/>
      <c r="O16" s="40"/>
      <c r="P16" s="40"/>
      <c r="Q16" s="40"/>
      <c r="R16" s="40"/>
    </row>
    <row r="17" spans="1:9" ht="15.75" customHeight="1" x14ac:dyDescent="0.25">
      <c r="A17" s="32">
        <v>1016</v>
      </c>
      <c r="B17" s="32" t="s">
        <v>31</v>
      </c>
      <c r="C17" s="32" t="s">
        <v>17</v>
      </c>
      <c r="D17" s="32" t="s">
        <v>19</v>
      </c>
      <c r="E17" s="32">
        <v>25</v>
      </c>
      <c r="F17" s="32">
        <v>5</v>
      </c>
      <c r="G17" s="49">
        <v>45317</v>
      </c>
      <c r="H17" s="38">
        <f t="shared" si="0"/>
        <v>125</v>
      </c>
      <c r="I17" s="2"/>
    </row>
    <row r="18" spans="1:9" ht="15.75" customHeight="1" x14ac:dyDescent="0.25">
      <c r="A18" s="32">
        <v>1017</v>
      </c>
      <c r="B18" s="32" t="s">
        <v>32</v>
      </c>
      <c r="C18" s="32" t="s">
        <v>8</v>
      </c>
      <c r="D18" s="32" t="s">
        <v>22</v>
      </c>
      <c r="E18" s="32">
        <v>20</v>
      </c>
      <c r="F18" s="32">
        <v>8</v>
      </c>
      <c r="G18" s="49">
        <v>45319</v>
      </c>
      <c r="H18" s="38">
        <f t="shared" si="0"/>
        <v>160</v>
      </c>
      <c r="I18" s="2"/>
    </row>
    <row r="19" spans="1:9" ht="15.75" customHeight="1" x14ac:dyDescent="0.25">
      <c r="A19" s="32">
        <v>1018</v>
      </c>
      <c r="B19" s="32" t="s">
        <v>33</v>
      </c>
      <c r="C19" s="32" t="s">
        <v>11</v>
      </c>
      <c r="D19" s="32" t="s">
        <v>9</v>
      </c>
      <c r="E19" s="32">
        <v>10</v>
      </c>
      <c r="F19" s="32">
        <v>50</v>
      </c>
      <c r="G19" s="49">
        <v>45320</v>
      </c>
      <c r="H19" s="38">
        <f t="shared" si="0"/>
        <v>500</v>
      </c>
      <c r="I19" s="2"/>
    </row>
    <row r="20" spans="1:9" ht="15.75" customHeight="1" x14ac:dyDescent="0.25">
      <c r="A20" s="32">
        <v>1019</v>
      </c>
      <c r="B20" s="32" t="s">
        <v>34</v>
      </c>
      <c r="C20" s="32" t="s">
        <v>14</v>
      </c>
      <c r="D20" s="32" t="s">
        <v>12</v>
      </c>
      <c r="E20" s="32">
        <v>15</v>
      </c>
      <c r="F20" s="32">
        <v>10</v>
      </c>
      <c r="G20" s="49">
        <v>45321</v>
      </c>
      <c r="H20" s="38">
        <f t="shared" si="0"/>
        <v>150</v>
      </c>
      <c r="I20" s="2"/>
    </row>
    <row r="21" spans="1:9" ht="15.75" customHeight="1" x14ac:dyDescent="0.25">
      <c r="A21" s="32">
        <v>1020</v>
      </c>
      <c r="B21" s="32" t="s">
        <v>35</v>
      </c>
      <c r="C21" s="32" t="s">
        <v>17</v>
      </c>
      <c r="D21" s="32" t="s">
        <v>15</v>
      </c>
      <c r="E21" s="32">
        <v>18</v>
      </c>
      <c r="F21" s="32">
        <v>25</v>
      </c>
      <c r="G21" s="49">
        <v>45323</v>
      </c>
      <c r="H21" s="38">
        <f t="shared" si="0"/>
        <v>450</v>
      </c>
      <c r="I21" s="2"/>
    </row>
    <row r="22" spans="1:9" ht="15" x14ac:dyDescent="0.25">
      <c r="A22" s="32">
        <v>1021</v>
      </c>
      <c r="B22" s="32" t="s">
        <v>36</v>
      </c>
      <c r="C22" s="32" t="s">
        <v>8</v>
      </c>
      <c r="D22" s="32" t="s">
        <v>9</v>
      </c>
      <c r="E22" s="32">
        <v>9</v>
      </c>
      <c r="F22" s="32">
        <v>50</v>
      </c>
      <c r="G22" s="49">
        <v>45324</v>
      </c>
      <c r="H22" s="38">
        <f t="shared" si="0"/>
        <v>450</v>
      </c>
      <c r="I22" s="2"/>
    </row>
    <row r="23" spans="1:9" ht="15" x14ac:dyDescent="0.25">
      <c r="A23" s="32">
        <v>1022</v>
      </c>
      <c r="B23" s="32" t="s">
        <v>37</v>
      </c>
      <c r="C23" s="32" t="s">
        <v>11</v>
      </c>
      <c r="D23" s="32" t="s">
        <v>19</v>
      </c>
      <c r="E23" s="32">
        <v>35</v>
      </c>
      <c r="F23" s="32">
        <v>5</v>
      </c>
      <c r="G23" s="49">
        <v>45325</v>
      </c>
      <c r="H23" s="38">
        <f t="shared" si="0"/>
        <v>175</v>
      </c>
      <c r="I23" s="2"/>
    </row>
    <row r="24" spans="1:9" ht="15" x14ac:dyDescent="0.25">
      <c r="A24" s="32">
        <v>1023</v>
      </c>
      <c r="B24" s="32" t="s">
        <v>38</v>
      </c>
      <c r="C24" s="32" t="s">
        <v>14</v>
      </c>
      <c r="D24" s="32" t="s">
        <v>22</v>
      </c>
      <c r="E24" s="32">
        <v>30</v>
      </c>
      <c r="F24" s="32">
        <v>8</v>
      </c>
      <c r="G24" s="49">
        <v>45326</v>
      </c>
      <c r="H24" s="38">
        <f t="shared" si="0"/>
        <v>240</v>
      </c>
      <c r="I24" s="2"/>
    </row>
    <row r="25" spans="1:9" ht="15" x14ac:dyDescent="0.25">
      <c r="A25" s="32">
        <v>1024</v>
      </c>
      <c r="B25" s="32" t="s">
        <v>39</v>
      </c>
      <c r="C25" s="32" t="s">
        <v>17</v>
      </c>
      <c r="D25" s="32" t="s">
        <v>9</v>
      </c>
      <c r="E25" s="32">
        <v>11</v>
      </c>
      <c r="F25" s="32">
        <v>50</v>
      </c>
      <c r="G25" s="49">
        <v>45328</v>
      </c>
      <c r="H25" s="38">
        <f t="shared" si="0"/>
        <v>550</v>
      </c>
      <c r="I25" s="2"/>
    </row>
    <row r="26" spans="1:9" ht="15" x14ac:dyDescent="0.25">
      <c r="A26" s="32">
        <v>1025</v>
      </c>
      <c r="B26" s="32" t="s">
        <v>40</v>
      </c>
      <c r="C26" s="32" t="s">
        <v>8</v>
      </c>
      <c r="D26" s="32" t="s">
        <v>12</v>
      </c>
      <c r="E26" s="32">
        <v>14</v>
      </c>
      <c r="F26" s="32">
        <v>10</v>
      </c>
      <c r="G26" s="49">
        <v>45329</v>
      </c>
      <c r="H26" s="38">
        <f t="shared" si="0"/>
        <v>140</v>
      </c>
      <c r="I26" s="2"/>
    </row>
    <row r="27" spans="1:9" ht="15" x14ac:dyDescent="0.25">
      <c r="A27" s="32">
        <v>1026</v>
      </c>
      <c r="B27" s="32" t="s">
        <v>41</v>
      </c>
      <c r="C27" s="32" t="s">
        <v>11</v>
      </c>
      <c r="D27" s="32" t="s">
        <v>15</v>
      </c>
      <c r="E27" s="32">
        <v>16</v>
      </c>
      <c r="F27" s="32">
        <v>25</v>
      </c>
      <c r="G27" s="49">
        <v>45330</v>
      </c>
      <c r="H27" s="38">
        <f t="shared" si="0"/>
        <v>400</v>
      </c>
      <c r="I27" s="2"/>
    </row>
    <row r="28" spans="1:9" ht="15" x14ac:dyDescent="0.25">
      <c r="A28" s="32">
        <v>1027</v>
      </c>
      <c r="B28" s="32" t="s">
        <v>42</v>
      </c>
      <c r="C28" s="32" t="s">
        <v>14</v>
      </c>
      <c r="D28" s="32" t="s">
        <v>19</v>
      </c>
      <c r="E28" s="32">
        <v>22</v>
      </c>
      <c r="F28" s="32">
        <v>5</v>
      </c>
      <c r="G28" s="49">
        <v>45331</v>
      </c>
      <c r="H28" s="38">
        <f t="shared" si="0"/>
        <v>110</v>
      </c>
      <c r="I28" s="2"/>
    </row>
    <row r="29" spans="1:9" ht="15" x14ac:dyDescent="0.25">
      <c r="A29" s="32">
        <v>1028</v>
      </c>
      <c r="B29" s="32" t="s">
        <v>43</v>
      </c>
      <c r="C29" s="32" t="s">
        <v>17</v>
      </c>
      <c r="D29" s="32" t="s">
        <v>22</v>
      </c>
      <c r="E29" s="32">
        <v>27</v>
      </c>
      <c r="F29" s="32">
        <v>8</v>
      </c>
      <c r="G29" s="49">
        <v>45332</v>
      </c>
      <c r="H29" s="38">
        <f t="shared" si="0"/>
        <v>216</v>
      </c>
      <c r="I29" s="2"/>
    </row>
    <row r="30" spans="1:9" ht="15" x14ac:dyDescent="0.25">
      <c r="A30" s="32">
        <v>1029</v>
      </c>
      <c r="B30" s="32" t="s">
        <v>44</v>
      </c>
      <c r="C30" s="32" t="s">
        <v>8</v>
      </c>
      <c r="D30" s="32" t="s">
        <v>9</v>
      </c>
      <c r="E30" s="32">
        <v>13</v>
      </c>
      <c r="F30" s="32">
        <v>50</v>
      </c>
      <c r="G30" s="49">
        <v>45334</v>
      </c>
      <c r="H30" s="38">
        <f t="shared" si="0"/>
        <v>650</v>
      </c>
      <c r="I30" s="2"/>
    </row>
    <row r="31" spans="1:9" ht="15" x14ac:dyDescent="0.25">
      <c r="A31" s="32">
        <v>1030</v>
      </c>
      <c r="B31" s="32" t="s">
        <v>45</v>
      </c>
      <c r="C31" s="32" t="s">
        <v>11</v>
      </c>
      <c r="D31" s="32" t="s">
        <v>12</v>
      </c>
      <c r="E31" s="32">
        <v>32</v>
      </c>
      <c r="F31" s="32">
        <v>10</v>
      </c>
      <c r="G31" s="49">
        <v>45335</v>
      </c>
      <c r="H31" s="38">
        <f t="shared" si="0"/>
        <v>320</v>
      </c>
      <c r="I31" s="2"/>
    </row>
    <row r="32" spans="1:9" ht="15" x14ac:dyDescent="0.25">
      <c r="A32" s="32">
        <v>1031</v>
      </c>
      <c r="B32" s="32" t="s">
        <v>46</v>
      </c>
      <c r="C32" s="32" t="s">
        <v>14</v>
      </c>
      <c r="D32" s="32" t="s">
        <v>15</v>
      </c>
      <c r="E32" s="32">
        <v>10</v>
      </c>
      <c r="F32" s="32">
        <v>25</v>
      </c>
      <c r="G32" s="49">
        <v>45336</v>
      </c>
      <c r="H32" s="38">
        <f t="shared" si="0"/>
        <v>250</v>
      </c>
      <c r="I32" s="2"/>
    </row>
    <row r="33" spans="1:9" ht="15" x14ac:dyDescent="0.25">
      <c r="A33" s="32">
        <v>1032</v>
      </c>
      <c r="B33" s="32" t="s">
        <v>47</v>
      </c>
      <c r="C33" s="32" t="s">
        <v>17</v>
      </c>
      <c r="D33" s="32" t="s">
        <v>19</v>
      </c>
      <c r="E33" s="32">
        <v>18</v>
      </c>
      <c r="F33" s="32">
        <v>5</v>
      </c>
      <c r="G33" s="49">
        <v>45338</v>
      </c>
      <c r="H33" s="38">
        <f t="shared" si="0"/>
        <v>90</v>
      </c>
      <c r="I33" s="2"/>
    </row>
    <row r="34" spans="1:9" ht="15" x14ac:dyDescent="0.25">
      <c r="A34" s="32">
        <v>1033</v>
      </c>
      <c r="B34" s="32" t="s">
        <v>48</v>
      </c>
      <c r="C34" s="32" t="s">
        <v>8</v>
      </c>
      <c r="D34" s="32" t="s">
        <v>22</v>
      </c>
      <c r="E34" s="32">
        <v>22</v>
      </c>
      <c r="F34" s="32">
        <v>8</v>
      </c>
      <c r="G34" s="49">
        <v>45339</v>
      </c>
      <c r="H34" s="38">
        <f t="shared" si="0"/>
        <v>176</v>
      </c>
      <c r="I34" s="2"/>
    </row>
    <row r="35" spans="1:9" ht="15" x14ac:dyDescent="0.25">
      <c r="A35" s="32">
        <v>1034</v>
      </c>
      <c r="B35" s="32" t="s">
        <v>49</v>
      </c>
      <c r="C35" s="32" t="s">
        <v>11</v>
      </c>
      <c r="D35" s="32" t="s">
        <v>9</v>
      </c>
      <c r="E35" s="32">
        <v>17</v>
      </c>
      <c r="F35" s="32">
        <v>50</v>
      </c>
      <c r="G35" s="49">
        <v>45340</v>
      </c>
      <c r="H35" s="38">
        <f t="shared" si="0"/>
        <v>850</v>
      </c>
      <c r="I35" s="2"/>
    </row>
    <row r="36" spans="1:9" ht="15" x14ac:dyDescent="0.25">
      <c r="A36" s="32">
        <v>1035</v>
      </c>
      <c r="B36" s="32" t="s">
        <v>50</v>
      </c>
      <c r="C36" s="32" t="s">
        <v>14</v>
      </c>
      <c r="D36" s="32" t="s">
        <v>12</v>
      </c>
      <c r="E36" s="32">
        <v>19</v>
      </c>
      <c r="F36" s="32">
        <v>10</v>
      </c>
      <c r="G36" s="49">
        <v>45341</v>
      </c>
      <c r="H36" s="38">
        <f t="shared" si="0"/>
        <v>190</v>
      </c>
      <c r="I36" s="2"/>
    </row>
    <row r="37" spans="1:9" ht="15" x14ac:dyDescent="0.25">
      <c r="A37" s="32">
        <v>1036</v>
      </c>
      <c r="B37" s="32" t="s">
        <v>51</v>
      </c>
      <c r="C37" s="32" t="s">
        <v>17</v>
      </c>
      <c r="D37" s="32" t="s">
        <v>15</v>
      </c>
      <c r="E37" s="32">
        <v>15</v>
      </c>
      <c r="F37" s="32">
        <v>25</v>
      </c>
      <c r="G37" s="49">
        <v>45343</v>
      </c>
      <c r="H37" s="38">
        <f t="shared" si="0"/>
        <v>375</v>
      </c>
      <c r="I37" s="2"/>
    </row>
    <row r="38" spans="1:9" ht="15" x14ac:dyDescent="0.25">
      <c r="A38" s="32">
        <v>1037</v>
      </c>
      <c r="B38" s="32" t="s">
        <v>52</v>
      </c>
      <c r="C38" s="32" t="s">
        <v>8</v>
      </c>
      <c r="D38" s="32" t="s">
        <v>19</v>
      </c>
      <c r="E38" s="32">
        <v>28</v>
      </c>
      <c r="F38" s="32">
        <v>5</v>
      </c>
      <c r="G38" s="49">
        <v>45344</v>
      </c>
      <c r="H38" s="38">
        <f t="shared" si="0"/>
        <v>140</v>
      </c>
      <c r="I38" s="2"/>
    </row>
    <row r="39" spans="1:9" ht="15" x14ac:dyDescent="0.25">
      <c r="A39" s="32">
        <v>1038</v>
      </c>
      <c r="B39" s="32" t="s">
        <v>53</v>
      </c>
      <c r="C39" s="32" t="s">
        <v>11</v>
      </c>
      <c r="D39" s="32" t="s">
        <v>22</v>
      </c>
      <c r="E39" s="32">
        <v>24</v>
      </c>
      <c r="F39" s="32">
        <v>8</v>
      </c>
      <c r="G39" s="49">
        <v>45345</v>
      </c>
      <c r="H39" s="38">
        <f t="shared" si="0"/>
        <v>192</v>
      </c>
      <c r="I39" s="2"/>
    </row>
    <row r="40" spans="1:9" ht="15" x14ac:dyDescent="0.25">
      <c r="A40" s="32">
        <v>1039</v>
      </c>
      <c r="B40" s="32" t="s">
        <v>54</v>
      </c>
      <c r="C40" s="32" t="s">
        <v>14</v>
      </c>
      <c r="D40" s="32" t="s">
        <v>9</v>
      </c>
      <c r="E40" s="32">
        <v>16</v>
      </c>
      <c r="F40" s="32">
        <v>50</v>
      </c>
      <c r="G40" s="49">
        <v>45347</v>
      </c>
      <c r="H40" s="38">
        <f t="shared" si="0"/>
        <v>800</v>
      </c>
      <c r="I40" s="2"/>
    </row>
    <row r="41" spans="1:9" ht="15" x14ac:dyDescent="0.25">
      <c r="A41" s="32">
        <v>1040</v>
      </c>
      <c r="B41" s="32" t="s">
        <v>55</v>
      </c>
      <c r="C41" s="32" t="s">
        <v>17</v>
      </c>
      <c r="D41" s="32" t="s">
        <v>12</v>
      </c>
      <c r="E41" s="32">
        <v>27</v>
      </c>
      <c r="F41" s="32">
        <v>10</v>
      </c>
      <c r="G41" s="49">
        <v>45348</v>
      </c>
      <c r="H41" s="38">
        <f t="shared" si="0"/>
        <v>270</v>
      </c>
      <c r="I41" s="2"/>
    </row>
    <row r="42" spans="1:9" ht="15" x14ac:dyDescent="0.25">
      <c r="A42" s="32">
        <v>1041</v>
      </c>
      <c r="B42" s="32" t="s">
        <v>56</v>
      </c>
      <c r="C42" s="32" t="s">
        <v>8</v>
      </c>
      <c r="D42" s="32" t="s">
        <v>15</v>
      </c>
      <c r="E42" s="32">
        <v>21</v>
      </c>
      <c r="F42" s="32">
        <v>25</v>
      </c>
      <c r="G42" s="49">
        <v>45349</v>
      </c>
      <c r="H42" s="38">
        <f t="shared" si="0"/>
        <v>525</v>
      </c>
      <c r="I42" s="2"/>
    </row>
    <row r="43" spans="1:9" ht="15" x14ac:dyDescent="0.25">
      <c r="A43" s="32">
        <v>1042</v>
      </c>
      <c r="B43" s="32" t="s">
        <v>57</v>
      </c>
      <c r="C43" s="32" t="s">
        <v>11</v>
      </c>
      <c r="D43" s="32" t="s">
        <v>19</v>
      </c>
      <c r="E43" s="32">
        <v>30</v>
      </c>
      <c r="F43" s="32">
        <v>5</v>
      </c>
      <c r="G43" s="49">
        <v>45350</v>
      </c>
      <c r="H43" s="38">
        <f t="shared" si="0"/>
        <v>150</v>
      </c>
      <c r="I43" s="2"/>
    </row>
    <row r="44" spans="1:9" ht="15" x14ac:dyDescent="0.25">
      <c r="A44" s="32">
        <v>1043</v>
      </c>
      <c r="B44" s="32" t="s">
        <v>58</v>
      </c>
      <c r="C44" s="32" t="s">
        <v>14</v>
      </c>
      <c r="D44" s="32" t="s">
        <v>22</v>
      </c>
      <c r="E44" s="32">
        <v>26</v>
      </c>
      <c r="F44" s="32">
        <v>8</v>
      </c>
      <c r="G44" s="49">
        <v>45352</v>
      </c>
      <c r="H44" s="38">
        <f t="shared" si="0"/>
        <v>208</v>
      </c>
      <c r="I44" s="2"/>
    </row>
    <row r="45" spans="1:9" ht="15" x14ac:dyDescent="0.25">
      <c r="A45" s="32">
        <v>1044</v>
      </c>
      <c r="B45" s="32" t="s">
        <v>59</v>
      </c>
      <c r="C45" s="32" t="s">
        <v>17</v>
      </c>
      <c r="D45" s="32" t="s">
        <v>9</v>
      </c>
      <c r="E45" s="32">
        <v>14</v>
      </c>
      <c r="F45" s="32">
        <v>50</v>
      </c>
      <c r="G45" s="49">
        <v>45353</v>
      </c>
      <c r="H45" s="38">
        <f t="shared" si="0"/>
        <v>700</v>
      </c>
      <c r="I45" s="2"/>
    </row>
    <row r="46" spans="1:9" ht="15" x14ac:dyDescent="0.25">
      <c r="A46" s="32">
        <v>1045</v>
      </c>
      <c r="B46" s="32" t="s">
        <v>60</v>
      </c>
      <c r="C46" s="32" t="s">
        <v>8</v>
      </c>
      <c r="D46" s="32" t="s">
        <v>12</v>
      </c>
      <c r="E46" s="32">
        <v>20</v>
      </c>
      <c r="F46" s="32">
        <v>10</v>
      </c>
      <c r="G46" s="49">
        <v>45354</v>
      </c>
      <c r="H46" s="38">
        <f t="shared" si="0"/>
        <v>200</v>
      </c>
      <c r="I46" s="2"/>
    </row>
    <row r="47" spans="1:9" ht="15" x14ac:dyDescent="0.25">
      <c r="A47" s="32">
        <v>1046</v>
      </c>
      <c r="B47" s="32" t="s">
        <v>61</v>
      </c>
      <c r="C47" s="32" t="s">
        <v>11</v>
      </c>
      <c r="D47" s="32" t="s">
        <v>15</v>
      </c>
      <c r="E47" s="32">
        <v>17</v>
      </c>
      <c r="F47" s="32">
        <v>25</v>
      </c>
      <c r="G47" s="49">
        <v>45355</v>
      </c>
      <c r="H47" s="38">
        <f t="shared" si="0"/>
        <v>425</v>
      </c>
      <c r="I47" s="2"/>
    </row>
    <row r="48" spans="1:9" ht="15" x14ac:dyDescent="0.25">
      <c r="A48" s="32">
        <v>1047</v>
      </c>
      <c r="B48" s="32" t="s">
        <v>62</v>
      </c>
      <c r="C48" s="32" t="s">
        <v>14</v>
      </c>
      <c r="D48" s="32" t="s">
        <v>19</v>
      </c>
      <c r="E48" s="32">
        <v>19</v>
      </c>
      <c r="F48" s="32">
        <v>5</v>
      </c>
      <c r="G48" s="49">
        <v>45356</v>
      </c>
      <c r="H48" s="38">
        <f t="shared" si="0"/>
        <v>95</v>
      </c>
      <c r="I48" s="2"/>
    </row>
    <row r="49" spans="1:9" ht="15" x14ac:dyDescent="0.25">
      <c r="A49" s="32">
        <v>1048</v>
      </c>
      <c r="B49" s="32" t="s">
        <v>63</v>
      </c>
      <c r="C49" s="32" t="s">
        <v>17</v>
      </c>
      <c r="D49" s="32" t="s">
        <v>22</v>
      </c>
      <c r="E49" s="32">
        <v>32</v>
      </c>
      <c r="F49" s="32">
        <v>8</v>
      </c>
      <c r="G49" s="49">
        <v>45357</v>
      </c>
      <c r="H49" s="38">
        <f t="shared" si="0"/>
        <v>256</v>
      </c>
      <c r="I49" s="2"/>
    </row>
    <row r="50" spans="1:9" ht="15" x14ac:dyDescent="0.25">
      <c r="A50" s="32">
        <v>1049</v>
      </c>
      <c r="B50" s="32" t="s">
        <v>64</v>
      </c>
      <c r="C50" s="32" t="s">
        <v>8</v>
      </c>
      <c r="D50" s="32" t="s">
        <v>9</v>
      </c>
      <c r="E50" s="32">
        <v>12</v>
      </c>
      <c r="F50" s="32">
        <v>50</v>
      </c>
      <c r="G50" s="49">
        <v>45358</v>
      </c>
      <c r="H50" s="38">
        <f t="shared" si="0"/>
        <v>600</v>
      </c>
      <c r="I50" s="2"/>
    </row>
    <row r="51" spans="1:9" ht="15" x14ac:dyDescent="0.25">
      <c r="A51" s="32">
        <v>1050</v>
      </c>
      <c r="B51" s="32" t="s">
        <v>65</v>
      </c>
      <c r="C51" s="32" t="s">
        <v>11</v>
      </c>
      <c r="D51" s="32" t="s">
        <v>12</v>
      </c>
      <c r="E51" s="32">
        <v>25</v>
      </c>
      <c r="F51" s="32">
        <v>10</v>
      </c>
      <c r="G51" s="49">
        <v>45359</v>
      </c>
      <c r="H51" s="38">
        <f t="shared" si="0"/>
        <v>250</v>
      </c>
      <c r="I51" s="2"/>
    </row>
    <row r="52" spans="1:9" ht="15" x14ac:dyDescent="0.25">
      <c r="A52" s="1"/>
      <c r="B52" s="1"/>
      <c r="C52" s="1"/>
      <c r="D52" s="1"/>
      <c r="E52" s="1"/>
      <c r="F52" s="1"/>
      <c r="G52" s="50"/>
      <c r="H52" s="1"/>
    </row>
    <row r="53" spans="1:9" ht="15" x14ac:dyDescent="0.25">
      <c r="A53" s="1"/>
      <c r="B53" s="1"/>
      <c r="C53" s="1"/>
      <c r="D53" s="1"/>
      <c r="E53" s="1"/>
      <c r="F53" s="1"/>
      <c r="G53" s="50"/>
      <c r="H53" s="1"/>
    </row>
  </sheetData>
  <mergeCells count="3">
    <mergeCell ref="K2:R2"/>
    <mergeCell ref="K7:R7"/>
    <mergeCell ref="K12:R1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EE1B7-9155-496F-A6DD-81BA6ED7E435}">
  <dimension ref="A1:H12"/>
  <sheetViews>
    <sheetView showGridLines="0" workbookViewId="0">
      <selection activeCell="B3" sqref="B3"/>
    </sheetView>
  </sheetViews>
  <sheetFormatPr defaultRowHeight="12.75" x14ac:dyDescent="0.2"/>
  <cols>
    <col min="1" max="1" width="11.7109375" bestFit="1" customWidth="1"/>
    <col min="2" max="2" width="18.42578125" bestFit="1" customWidth="1"/>
  </cols>
  <sheetData>
    <row r="1" spans="1:8" ht="16.5" x14ac:dyDescent="0.2">
      <c r="A1" s="75" t="s">
        <v>132</v>
      </c>
      <c r="B1" s="76"/>
      <c r="C1" s="76"/>
      <c r="D1" s="76"/>
      <c r="E1" s="76"/>
      <c r="F1" s="76"/>
      <c r="G1" s="76"/>
      <c r="H1" s="77"/>
    </row>
    <row r="2" spans="1:8" ht="16.5" x14ac:dyDescent="0.25">
      <c r="A2" s="34" t="s">
        <v>121</v>
      </c>
      <c r="B2" s="35" t="s">
        <v>133</v>
      </c>
      <c r="C2" s="35"/>
      <c r="D2" s="35"/>
      <c r="E2" s="35"/>
      <c r="F2" s="35"/>
      <c r="G2" s="35"/>
      <c r="H2" s="36"/>
    </row>
    <row r="6" spans="1:8" x14ac:dyDescent="0.2">
      <c r="A6" s="39" t="s">
        <v>3</v>
      </c>
      <c r="B6" t="s">
        <v>129</v>
      </c>
    </row>
    <row r="7" spans="1:8" x14ac:dyDescent="0.2">
      <c r="A7" t="s">
        <v>22</v>
      </c>
      <c r="B7">
        <v>1928</v>
      </c>
    </row>
    <row r="8" spans="1:8" x14ac:dyDescent="0.2">
      <c r="A8" t="s">
        <v>15</v>
      </c>
      <c r="B8">
        <v>3650</v>
      </c>
    </row>
    <row r="9" spans="1:8" x14ac:dyDescent="0.2">
      <c r="A9" t="s">
        <v>9</v>
      </c>
      <c r="B9">
        <v>7550</v>
      </c>
    </row>
    <row r="10" spans="1:8" x14ac:dyDescent="0.2">
      <c r="A10" t="s">
        <v>12</v>
      </c>
      <c r="B10">
        <v>2180</v>
      </c>
    </row>
    <row r="11" spans="1:8" x14ac:dyDescent="0.2">
      <c r="A11" t="s">
        <v>19</v>
      </c>
      <c r="B11">
        <v>1235</v>
      </c>
    </row>
    <row r="12" spans="1:8" x14ac:dyDescent="0.2">
      <c r="A12" t="s">
        <v>131</v>
      </c>
      <c r="B12">
        <v>16543</v>
      </c>
    </row>
  </sheetData>
  <mergeCells count="1">
    <mergeCell ref="A1:H1"/>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8C0F4-B556-4FDD-811B-4ECAEDB903EA}">
  <dimension ref="A1:S17"/>
  <sheetViews>
    <sheetView showGridLines="0" workbookViewId="0">
      <selection activeCell="O3" sqref="O3"/>
    </sheetView>
  </sheetViews>
  <sheetFormatPr defaultRowHeight="12.75" x14ac:dyDescent="0.2"/>
  <cols>
    <col min="19" max="19" width="6.5703125" customWidth="1"/>
  </cols>
  <sheetData>
    <row r="1" spans="1:19" ht="16.5" x14ac:dyDescent="0.2">
      <c r="A1" s="72" t="s">
        <v>134</v>
      </c>
      <c r="B1" s="73"/>
      <c r="C1" s="73"/>
      <c r="D1" s="73"/>
      <c r="E1" s="73"/>
      <c r="F1" s="73"/>
      <c r="G1" s="73"/>
      <c r="H1" s="74"/>
    </row>
    <row r="2" spans="1:19" ht="16.5" x14ac:dyDescent="0.25">
      <c r="A2" s="41" t="s">
        <v>121</v>
      </c>
      <c r="B2" s="42" t="s">
        <v>135</v>
      </c>
      <c r="C2" s="42"/>
      <c r="D2" s="42"/>
      <c r="E2" s="42"/>
      <c r="F2" s="42"/>
      <c r="G2" s="42"/>
      <c r="H2" s="43"/>
    </row>
    <row r="3" spans="1:19" ht="17.25" thickBot="1" x14ac:dyDescent="0.3">
      <c r="A3" s="44"/>
      <c r="B3" s="45"/>
      <c r="C3" s="46"/>
      <c r="D3" s="46"/>
      <c r="E3" s="46"/>
      <c r="F3" s="46"/>
      <c r="G3" s="46"/>
      <c r="H3" s="47"/>
    </row>
    <row r="6" spans="1:19" ht="18.75" x14ac:dyDescent="0.25">
      <c r="Q6" s="78" t="s">
        <v>139</v>
      </c>
      <c r="R6" s="78"/>
      <c r="S6" s="78"/>
    </row>
    <row r="17" spans="17:17" x14ac:dyDescent="0.2">
      <c r="Q17" s="3"/>
    </row>
  </sheetData>
  <mergeCells count="2">
    <mergeCell ref="A1:H1"/>
    <mergeCell ref="Q6:S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C7CCF-5F34-4BC0-9EBC-8A613BCEACF4}">
  <dimension ref="A1:B23"/>
  <sheetViews>
    <sheetView topLeftCell="A29" workbookViewId="0">
      <selection activeCell="A3" sqref="A3:B54"/>
    </sheetView>
  </sheetViews>
  <sheetFormatPr defaultRowHeight="12.75" x14ac:dyDescent="0.2"/>
  <cols>
    <col min="1" max="1" width="17.5703125" bestFit="1" customWidth="1"/>
    <col min="2" max="2" width="18.42578125" bestFit="1" customWidth="1"/>
  </cols>
  <sheetData>
    <row r="1" spans="1:2" x14ac:dyDescent="0.2">
      <c r="A1" s="39" t="s">
        <v>138</v>
      </c>
      <c r="B1" t="s">
        <v>137</v>
      </c>
    </row>
    <row r="3" spans="1:2" x14ac:dyDescent="0.2">
      <c r="A3" s="39" t="s">
        <v>130</v>
      </c>
      <c r="B3" t="s">
        <v>129</v>
      </c>
    </row>
    <row r="4" spans="1:2" x14ac:dyDescent="0.2">
      <c r="A4" s="52">
        <v>45296</v>
      </c>
      <c r="B4">
        <v>500</v>
      </c>
    </row>
    <row r="5" spans="1:2" x14ac:dyDescent="0.2">
      <c r="A5" s="52">
        <v>45297</v>
      </c>
      <c r="B5">
        <v>200</v>
      </c>
    </row>
    <row r="6" spans="1:2" x14ac:dyDescent="0.2">
      <c r="A6" s="52">
        <v>45298</v>
      </c>
      <c r="B6">
        <v>375</v>
      </c>
    </row>
    <row r="7" spans="1:2" x14ac:dyDescent="0.2">
      <c r="A7" s="52">
        <v>45299</v>
      </c>
      <c r="B7">
        <v>250</v>
      </c>
    </row>
    <row r="8" spans="1:2" x14ac:dyDescent="0.2">
      <c r="A8" s="52">
        <v>45301</v>
      </c>
      <c r="B8">
        <v>150</v>
      </c>
    </row>
    <row r="9" spans="1:2" x14ac:dyDescent="0.2">
      <c r="A9" s="52">
        <v>45302</v>
      </c>
      <c r="B9">
        <v>600</v>
      </c>
    </row>
    <row r="10" spans="1:2" x14ac:dyDescent="0.2">
      <c r="A10" s="52">
        <v>45304</v>
      </c>
      <c r="B10">
        <v>200</v>
      </c>
    </row>
    <row r="11" spans="1:2" x14ac:dyDescent="0.2">
      <c r="A11" s="52">
        <v>45306</v>
      </c>
      <c r="B11">
        <v>180</v>
      </c>
    </row>
    <row r="12" spans="1:2" x14ac:dyDescent="0.2">
      <c r="A12" s="52">
        <v>45308</v>
      </c>
      <c r="B12">
        <v>550</v>
      </c>
    </row>
    <row r="13" spans="1:2" x14ac:dyDescent="0.2">
      <c r="A13" s="52">
        <v>45309</v>
      </c>
      <c r="B13">
        <v>400</v>
      </c>
    </row>
    <row r="14" spans="1:2" x14ac:dyDescent="0.2">
      <c r="A14" s="52">
        <v>45310</v>
      </c>
      <c r="B14">
        <v>200</v>
      </c>
    </row>
    <row r="15" spans="1:2" x14ac:dyDescent="0.2">
      <c r="A15" s="52">
        <v>45311</v>
      </c>
      <c r="B15">
        <v>280</v>
      </c>
    </row>
    <row r="16" spans="1:2" x14ac:dyDescent="0.2">
      <c r="A16" s="52">
        <v>45313</v>
      </c>
      <c r="B16">
        <v>700</v>
      </c>
    </row>
    <row r="17" spans="1:2" x14ac:dyDescent="0.2">
      <c r="A17" s="52">
        <v>45314</v>
      </c>
      <c r="B17">
        <v>280</v>
      </c>
    </row>
    <row r="18" spans="1:2" x14ac:dyDescent="0.2">
      <c r="A18" s="52">
        <v>45315</v>
      </c>
      <c r="B18">
        <v>300</v>
      </c>
    </row>
    <row r="19" spans="1:2" x14ac:dyDescent="0.2">
      <c r="A19" s="52">
        <v>45317</v>
      </c>
      <c r="B19">
        <v>125</v>
      </c>
    </row>
    <row r="20" spans="1:2" x14ac:dyDescent="0.2">
      <c r="A20" s="52">
        <v>45319</v>
      </c>
      <c r="B20">
        <v>160</v>
      </c>
    </row>
    <row r="21" spans="1:2" x14ac:dyDescent="0.2">
      <c r="A21" s="52">
        <v>45320</v>
      </c>
      <c r="B21">
        <v>500</v>
      </c>
    </row>
    <row r="22" spans="1:2" x14ac:dyDescent="0.2">
      <c r="A22" s="52">
        <v>45321</v>
      </c>
      <c r="B22">
        <v>150</v>
      </c>
    </row>
    <row r="23" spans="1:2" x14ac:dyDescent="0.2">
      <c r="A23" s="52" t="s">
        <v>131</v>
      </c>
      <c r="B23">
        <v>6100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Question 1</vt:lpstr>
      <vt:lpstr>Question 2</vt:lpstr>
      <vt:lpstr>Question 3</vt:lpstr>
      <vt:lpstr>Question 4, 5, 6</vt:lpstr>
      <vt:lpstr>Question 7</vt:lpstr>
      <vt:lpstr>Question 8</vt:lpstr>
      <vt:lpstr>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akshat maurya</cp:lastModifiedBy>
  <dcterms:modified xsi:type="dcterms:W3CDTF">2025-12-08T20:25:13Z</dcterms:modified>
</cp:coreProperties>
</file>